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ntonmcleod-my.sharepoint.com/personal/alex_campbell_pantonmcleod_co_uk/Documents/CodeStuffs/equipment_portal/"/>
    </mc:Choice>
  </mc:AlternateContent>
  <xr:revisionPtr revIDLastSave="30" documentId="8_{65FC2E82-7604-41E0-B33D-F59F96D9306E}" xr6:coauthVersionLast="47" xr6:coauthVersionMax="47" xr10:uidLastSave="{7B4C0DF4-5FF2-405D-9DE2-88390D319AA7}"/>
  <bookViews>
    <workbookView xWindow="-120" yWindow="-120" windowWidth="20730" windowHeight="11040" xr2:uid="{3B0124D6-ED40-4854-9E06-1CC63E7C882D}"/>
  </bookViews>
  <sheets>
    <sheet name="GEN" sheetId="1" r:id="rId1"/>
    <sheet name="PUMP" sheetId="2" r:id="rId2"/>
    <sheet name="SUBS" sheetId="3" r:id="rId3"/>
    <sheet name="DOSING" sheetId="4" r:id="rId4"/>
    <sheet name="CHE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" l="1"/>
  <c r="H32" i="2" s="1"/>
  <c r="G31" i="2"/>
  <c r="H31" i="2" s="1"/>
  <c r="G30" i="2"/>
  <c r="I30" i="2" s="1"/>
  <c r="G28" i="2"/>
  <c r="I28" i="2" s="1"/>
  <c r="G29" i="2"/>
  <c r="H29" i="2" s="1"/>
  <c r="G35" i="2"/>
  <c r="H35" i="2" s="1"/>
  <c r="G24" i="2"/>
  <c r="I24" i="2" s="1"/>
  <c r="G25" i="2"/>
  <c r="I25" i="2" s="1"/>
  <c r="G23" i="2"/>
  <c r="H23" i="2" s="1"/>
  <c r="G34" i="2"/>
  <c r="I34" i="2" s="1"/>
  <c r="G33" i="2"/>
  <c r="I33" i="2" s="1"/>
  <c r="G27" i="2"/>
  <c r="I27" i="2" s="1"/>
  <c r="G26" i="2"/>
  <c r="H26" i="2" s="1"/>
  <c r="G6" i="2"/>
  <c r="H6" i="2" s="1"/>
  <c r="G10" i="2"/>
  <c r="I10" i="2" s="1"/>
  <c r="G22" i="2"/>
  <c r="I22" i="2" s="1"/>
  <c r="G15" i="2"/>
  <c r="H15" i="2" s="1"/>
  <c r="G7" i="2"/>
  <c r="H7" i="2" s="1"/>
  <c r="G21" i="2"/>
  <c r="I21" i="2" s="1"/>
  <c r="G5" i="2"/>
  <c r="I5" i="2" s="1"/>
  <c r="G11" i="2"/>
  <c r="H11" i="2" s="1"/>
  <c r="G12" i="2"/>
  <c r="I12" i="2" s="1"/>
  <c r="G3" i="2"/>
  <c r="I3" i="2" s="1"/>
  <c r="G4" i="2"/>
  <c r="I4" i="2" s="1"/>
  <c r="G2" i="2"/>
  <c r="H2" i="2" s="1"/>
  <c r="G20" i="2"/>
  <c r="H20" i="2" s="1"/>
  <c r="G17" i="2"/>
  <c r="I17" i="2" s="1"/>
  <c r="G19" i="2"/>
  <c r="I19" i="2" s="1"/>
  <c r="G18" i="2"/>
  <c r="H18" i="2" s="1"/>
  <c r="G16" i="2"/>
  <c r="I16" i="2" s="1"/>
  <c r="G13" i="2"/>
  <c r="I13" i="2" s="1"/>
  <c r="G8" i="2"/>
  <c r="I8" i="2" s="1"/>
  <c r="G14" i="2"/>
  <c r="H14" i="2" s="1"/>
  <c r="G9" i="2"/>
  <c r="I9" i="2" s="1"/>
  <c r="G10" i="1"/>
  <c r="I10" i="1" s="1"/>
  <c r="G4" i="1"/>
  <c r="I4" i="1" s="1"/>
  <c r="G3" i="1"/>
  <c r="I3" i="1" s="1"/>
  <c r="G20" i="1"/>
  <c r="I20" i="1" s="1"/>
  <c r="G12" i="1"/>
  <c r="I12" i="1" s="1"/>
  <c r="G21" i="1"/>
  <c r="I21" i="1" s="1"/>
  <c r="G22" i="1"/>
  <c r="I22" i="1" s="1"/>
  <c r="G27" i="1"/>
  <c r="I27" i="1" s="1"/>
  <c r="G24" i="1"/>
  <c r="I24" i="1" s="1"/>
  <c r="G23" i="1"/>
  <c r="H23" i="1" s="1"/>
  <c r="G26" i="1"/>
  <c r="I26" i="1" s="1"/>
  <c r="G25" i="1"/>
  <c r="H25" i="1" s="1"/>
  <c r="G28" i="1"/>
  <c r="I28" i="1" s="1"/>
  <c r="G18" i="1"/>
  <c r="I18" i="1" s="1"/>
  <c r="G16" i="1"/>
  <c r="I16" i="1" s="1"/>
  <c r="G17" i="1"/>
  <c r="I17" i="1" s="1"/>
  <c r="G19" i="1"/>
  <c r="I19" i="1" s="1"/>
  <c r="G11" i="1"/>
  <c r="H11" i="1" s="1"/>
  <c r="G15" i="1"/>
  <c r="I15" i="1" s="1"/>
  <c r="G14" i="1"/>
  <c r="I14" i="1" s="1"/>
  <c r="G13" i="1"/>
  <c r="I13" i="1" s="1"/>
  <c r="G8" i="1"/>
  <c r="I8" i="1" s="1"/>
  <c r="G7" i="1"/>
  <c r="H7" i="1" s="1"/>
  <c r="G9" i="1"/>
  <c r="I9" i="1" s="1"/>
  <c r="G6" i="1"/>
  <c r="I6" i="1" s="1"/>
  <c r="G2" i="1"/>
  <c r="H2" i="1" s="1"/>
  <c r="G5" i="1"/>
  <c r="I5" i="1" s="1"/>
  <c r="I35" i="2" l="1"/>
  <c r="I7" i="1"/>
  <c r="H18" i="1"/>
  <c r="H5" i="1"/>
  <c r="I11" i="1"/>
  <c r="H22" i="1"/>
  <c r="H16" i="1"/>
  <c r="H26" i="1"/>
  <c r="H8" i="1"/>
  <c r="I2" i="1"/>
  <c r="H21" i="1"/>
  <c r="H15" i="1"/>
  <c r="I23" i="1"/>
  <c r="I2" i="2"/>
  <c r="I7" i="2"/>
  <c r="I31" i="2"/>
  <c r="H9" i="2"/>
  <c r="I11" i="2"/>
  <c r="I29" i="2"/>
  <c r="I6" i="2"/>
  <c r="H16" i="2"/>
  <c r="I20" i="2"/>
  <c r="I15" i="2"/>
  <c r="H12" i="2"/>
  <c r="I23" i="2"/>
  <c r="I26" i="2"/>
  <c r="I18" i="2"/>
  <c r="H34" i="2"/>
  <c r="I14" i="2"/>
  <c r="I32" i="2"/>
  <c r="H30" i="2"/>
  <c r="H17" i="2"/>
  <c r="H21" i="2"/>
  <c r="H33" i="2"/>
  <c r="H8" i="2"/>
  <c r="H4" i="2"/>
  <c r="H22" i="2"/>
  <c r="H25" i="2"/>
  <c r="H3" i="2"/>
  <c r="H10" i="2"/>
  <c r="H13" i="2"/>
  <c r="H24" i="2"/>
  <c r="H19" i="2"/>
  <c r="H5" i="2"/>
  <c r="H27" i="2"/>
  <c r="H28" i="2"/>
  <c r="H3" i="1"/>
  <c r="H9" i="1"/>
  <c r="H17" i="1"/>
  <c r="H27" i="1"/>
  <c r="H13" i="1"/>
  <c r="H28" i="1"/>
  <c r="H12" i="1"/>
  <c r="H4" i="1"/>
  <c r="H14" i="1"/>
  <c r="H20" i="1"/>
  <c r="H6" i="1"/>
  <c r="H19" i="1"/>
  <c r="I25" i="1"/>
  <c r="H24" i="1"/>
  <c r="H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 Bonini</author>
  </authors>
  <commentList>
    <comment ref="A1" authorId="0" shapeId="0" xr:uid="{8F6A6651-4979-45D2-A99B-14A9279993E2}">
      <text>
        <r>
          <rPr>
            <b/>
            <sz val="9"/>
            <color indexed="81"/>
            <rFont val="Tahoma"/>
            <family val="2"/>
          </rPr>
          <t>Neil Bonini:</t>
        </r>
        <r>
          <rPr>
            <sz val="9"/>
            <color indexed="81"/>
            <rFont val="Tahoma"/>
            <family val="2"/>
          </rPr>
          <t xml:space="preserve">
From June 2024 - Finance to advise on asset number once MH has provided serial number.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 Bonini</author>
  </authors>
  <commentList>
    <comment ref="A1" authorId="0" shapeId="0" xr:uid="{3C9208B9-8508-436D-87DD-2EE2D775A4A6}">
      <text>
        <r>
          <rPr>
            <b/>
            <sz val="9"/>
            <color indexed="81"/>
            <rFont val="Tahoma"/>
            <family val="2"/>
          </rPr>
          <t>Neil Bonini:</t>
        </r>
        <r>
          <rPr>
            <sz val="9"/>
            <color indexed="81"/>
            <rFont val="Tahoma"/>
            <family val="2"/>
          </rPr>
          <t xml:space="preserve">
From June 2024 - Finance to advise on asset number once MH has provided serial number.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 Bonini</author>
  </authors>
  <commentList>
    <comment ref="A1" authorId="0" shapeId="0" xr:uid="{CE90978E-47AB-42F5-8FFF-569214551D30}">
      <text>
        <r>
          <rPr>
            <b/>
            <sz val="9"/>
            <color indexed="81"/>
            <rFont val="Tahoma"/>
            <family val="2"/>
          </rPr>
          <t>Neil Bonini:</t>
        </r>
        <r>
          <rPr>
            <sz val="9"/>
            <color indexed="81"/>
            <rFont val="Tahoma"/>
            <family val="2"/>
          </rPr>
          <t xml:space="preserve">
From June 2024 - Finance to advise on asset number once MH has provided serial number.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 Bonini</author>
  </authors>
  <commentList>
    <comment ref="A1" authorId="0" shapeId="0" xr:uid="{4FCD18EB-608D-4971-85AF-A0C958A81CEB}">
      <text>
        <r>
          <rPr>
            <b/>
            <sz val="9"/>
            <color indexed="81"/>
            <rFont val="Tahoma"/>
            <family val="2"/>
          </rPr>
          <t>Neil Bonini:</t>
        </r>
        <r>
          <rPr>
            <sz val="9"/>
            <color indexed="81"/>
            <rFont val="Tahoma"/>
            <family val="2"/>
          </rPr>
          <t xml:space="preserve">
From June 2024 - Finance to advise on asset number once MH has provided serial number.</t>
        </r>
      </text>
    </comment>
  </commentList>
</comments>
</file>

<file path=xl/sharedStrings.xml><?xml version="1.0" encoding="utf-8"?>
<sst xmlns="http://schemas.openxmlformats.org/spreadsheetml/2006/main" count="478" uniqueCount="222">
  <si>
    <t>SAGE REFERENCE</t>
  </si>
  <si>
    <t xml:space="preserve">Equipment type </t>
  </si>
  <si>
    <t xml:space="preserve">Model </t>
  </si>
  <si>
    <t>Serial Number</t>
  </si>
  <si>
    <t>Date into Service</t>
  </si>
  <si>
    <t>Last Service</t>
  </si>
  <si>
    <t>Next Service</t>
  </si>
  <si>
    <t>Service status</t>
  </si>
  <si>
    <t>Days to next service</t>
  </si>
  <si>
    <t>Location</t>
  </si>
  <si>
    <t>Notes</t>
  </si>
  <si>
    <t>QR Applied</t>
  </si>
  <si>
    <t>GEN018</t>
  </si>
  <si>
    <t>2.7 kVA Generator</t>
  </si>
  <si>
    <t>GCAFT-2635221</t>
  </si>
  <si>
    <t>Pre 2020</t>
  </si>
  <si>
    <t>gone?? Wales???</t>
  </si>
  <si>
    <t>GEN009</t>
  </si>
  <si>
    <t>GCATH-1132813 (622632)</t>
  </si>
  <si>
    <t>NOT KNOWN</t>
  </si>
  <si>
    <t>GEN027</t>
  </si>
  <si>
    <t>2.5 kVA Generator</t>
  </si>
  <si>
    <t>GCBCH-1362111 (631814)</t>
  </si>
  <si>
    <t xml:space="preserve">Pre 2020 </t>
  </si>
  <si>
    <t>Selkirk</t>
  </si>
  <si>
    <t>GEN030</t>
  </si>
  <si>
    <t>GCBCH-1362119 (631815)</t>
  </si>
  <si>
    <t>GEN028</t>
  </si>
  <si>
    <t>GCBCH-1362120 (631821)</t>
  </si>
  <si>
    <t>Wales</t>
  </si>
  <si>
    <t xml:space="preserve">All Wales Pumps and Gennys have been altered to 12 months </t>
  </si>
  <si>
    <t>GEN029</t>
  </si>
  <si>
    <t>GCBCH-1362133 (631811)</t>
  </si>
  <si>
    <t>GEN034</t>
  </si>
  <si>
    <t xml:space="preserve">Stephill </t>
  </si>
  <si>
    <t>GCBCH-1362433 (14644)</t>
  </si>
  <si>
    <t>QR made</t>
  </si>
  <si>
    <t>GEN035</t>
  </si>
  <si>
    <t>GCBCH-1362440 (14655)</t>
  </si>
  <si>
    <t>GEN036</t>
  </si>
  <si>
    <t>GCBCH-1362437 (14657)</t>
  </si>
  <si>
    <t>GEN032</t>
  </si>
  <si>
    <t>6.5 kVA Generator</t>
  </si>
  <si>
    <t>Stephill</t>
  </si>
  <si>
    <t>GCBCT-3900255 (803600)</t>
  </si>
  <si>
    <t>GEN040</t>
  </si>
  <si>
    <t>GCBCT-3906396 (803951)</t>
  </si>
  <si>
    <t>SW69 CHF</t>
  </si>
  <si>
    <t>GEN038</t>
  </si>
  <si>
    <t>GCBCT-4077443 (801336)</t>
  </si>
  <si>
    <t xml:space="preserve">idk where </t>
  </si>
  <si>
    <t>GEN037</t>
  </si>
  <si>
    <t>GCBCT-4077444 (801332)</t>
  </si>
  <si>
    <t>QR Table</t>
  </si>
  <si>
    <t>GEN039</t>
  </si>
  <si>
    <t>GCBCT-4077501 (801340)</t>
  </si>
  <si>
    <t>GCBCT-4077552 (803878)</t>
  </si>
  <si>
    <t>GEN046</t>
  </si>
  <si>
    <t>5 kVA Generator</t>
  </si>
  <si>
    <t>GCBGT-2670587 (802493)</t>
  </si>
  <si>
    <t>GEN047</t>
  </si>
  <si>
    <t xml:space="preserve">GCBGT-2670588 (802494) </t>
  </si>
  <si>
    <t>repairs??</t>
  </si>
  <si>
    <t>GEN044</t>
  </si>
  <si>
    <t>3.4 kVA Generator</t>
  </si>
  <si>
    <t>GCAYH-1291713 (16034)</t>
  </si>
  <si>
    <t>GEN045</t>
  </si>
  <si>
    <t>GCAYH-1291561 (16035)</t>
  </si>
  <si>
    <t>GEN048</t>
  </si>
  <si>
    <t>GCAYH-1295730 (17173)</t>
  </si>
  <si>
    <t>GEN043</t>
  </si>
  <si>
    <t>GCBDH-1146284 (13635)</t>
  </si>
  <si>
    <t>GEN042</t>
  </si>
  <si>
    <t>GCBDH-1127146 (13381)</t>
  </si>
  <si>
    <t>GEN033</t>
  </si>
  <si>
    <t>GCBDH-1121696 (11686)</t>
  </si>
  <si>
    <t>ireland</t>
  </si>
  <si>
    <t>GEN041</t>
  </si>
  <si>
    <t>GCBDH-1127038 (12686)</t>
  </si>
  <si>
    <t>GEN010</t>
  </si>
  <si>
    <t>3 kVA Generator</t>
  </si>
  <si>
    <t>R210-A1408004255 (758355)</t>
  </si>
  <si>
    <t>GEN011</t>
  </si>
  <si>
    <t>R210-A1408004324 (758362)</t>
  </si>
  <si>
    <t>GEN031</t>
  </si>
  <si>
    <t>3.5 kVA Generator</t>
  </si>
  <si>
    <t>Villers Schuko</t>
  </si>
  <si>
    <t>R210-A1803005897 (1445206)</t>
  </si>
  <si>
    <t>PUM020</t>
  </si>
  <si>
    <t>2" High pressure pump</t>
  </si>
  <si>
    <t>Koshin</t>
  </si>
  <si>
    <t>GCACK-1078278 (50801009)</t>
  </si>
  <si>
    <t>PUM029</t>
  </si>
  <si>
    <t>GCBCH-1195748 (210601050)</t>
  </si>
  <si>
    <t>PUM012</t>
  </si>
  <si>
    <t>GCBCH-1195750 (210601013)</t>
  </si>
  <si>
    <t>in GW corner??</t>
  </si>
  <si>
    <t>PUM028</t>
  </si>
  <si>
    <t>GCBCH-1196063 (210601026)</t>
  </si>
  <si>
    <t>PUM035</t>
  </si>
  <si>
    <t>GCBCH-1457985 (230701008)</t>
  </si>
  <si>
    <t>PUM040</t>
  </si>
  <si>
    <t>GCBCH-1458270 (230701033)</t>
  </si>
  <si>
    <t>PUM041</t>
  </si>
  <si>
    <t>GCBCH-1458290 (230701036)</t>
  </si>
  <si>
    <t>PUM036</t>
  </si>
  <si>
    <t>GCBCH-1458265 (230701049)</t>
  </si>
  <si>
    <t>PUM042</t>
  </si>
  <si>
    <t>GCBCH-1458268 (230701048)</t>
  </si>
  <si>
    <t xml:space="preserve">in pile </t>
  </si>
  <si>
    <t>PUM001</t>
  </si>
  <si>
    <t>GCBPT-1008459 (160601008)</t>
  </si>
  <si>
    <t>PUM003</t>
  </si>
  <si>
    <t>GCBPT-2261693 (160801026)</t>
  </si>
  <si>
    <t>wouldn’t start</t>
  </si>
  <si>
    <t>PUM002</t>
  </si>
  <si>
    <t>GCBPT-2261695 (160801028)</t>
  </si>
  <si>
    <t>PUM026</t>
  </si>
  <si>
    <t>GCBPT-2262015 (160801030)</t>
  </si>
  <si>
    <t>Might need replacement frame later</t>
  </si>
  <si>
    <t>PUM022</t>
  </si>
  <si>
    <t>GCBPT-2262022 (160801017)</t>
  </si>
  <si>
    <t>PUM006</t>
  </si>
  <si>
    <t>GCBPT-2883395 (180901008)</t>
  </si>
  <si>
    <t>GCBPT-2883402</t>
  </si>
  <si>
    <t>PUM011</t>
  </si>
  <si>
    <t>GCBRT-3219730</t>
  </si>
  <si>
    <t>PUM033</t>
  </si>
  <si>
    <t>GCCJT-1219159 (211051242)</t>
  </si>
  <si>
    <t>G160F-7660232802</t>
  </si>
  <si>
    <t>PUM021</t>
  </si>
  <si>
    <t>Loncin</t>
  </si>
  <si>
    <t>G200F-T812001809075233</t>
  </si>
  <si>
    <t>never seen</t>
  </si>
  <si>
    <t>PUM010</t>
  </si>
  <si>
    <t>G200F-T8120018090175257</t>
  </si>
  <si>
    <t>PUM013</t>
  </si>
  <si>
    <t>3" Trash Pump</t>
  </si>
  <si>
    <t>G200F-T8300020100071025</t>
  </si>
  <si>
    <t>PUM014</t>
  </si>
  <si>
    <t>G200F-T8300020100071027</t>
  </si>
  <si>
    <t>have I seen?</t>
  </si>
  <si>
    <t>G200F-T8300020100071033</t>
  </si>
  <si>
    <t>R200-A1804004114</t>
  </si>
  <si>
    <t>PUM004</t>
  </si>
  <si>
    <t>R200-A1608000080</t>
  </si>
  <si>
    <t>PUM009</t>
  </si>
  <si>
    <t>R210-A1803005630</t>
  </si>
  <si>
    <t>PUM007</t>
  </si>
  <si>
    <t>R210-A1803005638</t>
  </si>
  <si>
    <t xml:space="preserve">ireland </t>
  </si>
  <si>
    <t>R210-A1803005648</t>
  </si>
  <si>
    <t>PUM037</t>
  </si>
  <si>
    <t>R210-A2108002395</t>
  </si>
  <si>
    <t>PUM034</t>
  </si>
  <si>
    <t>R210-A2108002375</t>
  </si>
  <si>
    <t>PUM038</t>
  </si>
  <si>
    <t>R210-A2108002369</t>
  </si>
  <si>
    <t>PUM039</t>
  </si>
  <si>
    <t>R210-A2108002401</t>
  </si>
  <si>
    <t>PUM043</t>
  </si>
  <si>
    <t>T8300022110002961</t>
  </si>
  <si>
    <t>SUB008</t>
  </si>
  <si>
    <t>4 2" RS550 (small) in selkirk</t>
  </si>
  <si>
    <t>SUB014</t>
  </si>
  <si>
    <t>?</t>
  </si>
  <si>
    <t>2 2" RS750 (big) selkirk 1 in GW corner</t>
  </si>
  <si>
    <t>SUB015</t>
  </si>
  <si>
    <t>SOR274132/SDN288246</t>
  </si>
  <si>
    <t>1 more 2" in cza</t>
  </si>
  <si>
    <t>SUB019</t>
  </si>
  <si>
    <t>187951</t>
  </si>
  <si>
    <t>1 more 2" in byg (87699)</t>
  </si>
  <si>
    <t>SUB020</t>
  </si>
  <si>
    <t>187956</t>
  </si>
  <si>
    <t>SUB021</t>
  </si>
  <si>
    <t>WEDA 30L</t>
  </si>
  <si>
    <t>ESF116685</t>
  </si>
  <si>
    <t>1 in GW corner</t>
  </si>
  <si>
    <t>SUB022</t>
  </si>
  <si>
    <t>ESF116753</t>
  </si>
  <si>
    <t>SUB023</t>
  </si>
  <si>
    <t>2 2" in OFU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</si>
  <si>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</si>
  <si>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</si>
  <si>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</si>
  <si>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</si>
  <si>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</si>
  <si>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</si>
  <si>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</si>
  <si>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</si>
  <si>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</si>
  <si>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</si>
  <si>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</si>
  <si>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</si>
  <si>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</si>
  <si>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SW69 CZA</t>
  </si>
  <si>
    <t>SUB037</t>
  </si>
  <si>
    <t>SUB038</t>
  </si>
  <si>
    <t>SW69 BYG</t>
  </si>
  <si>
    <t>SUB039</t>
  </si>
  <si>
    <t>SUB040</t>
  </si>
  <si>
    <t>ESF127240</t>
  </si>
  <si>
    <t xml:space="preserve">hugh has some </t>
  </si>
  <si>
    <t>SUB041</t>
  </si>
  <si>
    <t>ESF131130</t>
  </si>
  <si>
    <t>SUB042</t>
  </si>
  <si>
    <t>RS750 110V</t>
  </si>
  <si>
    <t>PUM103</t>
  </si>
  <si>
    <t>BETA</t>
  </si>
  <si>
    <t>PUM109</t>
  </si>
  <si>
    <t>PUM110</t>
  </si>
  <si>
    <t>PUM111</t>
  </si>
  <si>
    <t>PUM107</t>
  </si>
  <si>
    <t>PUM108</t>
  </si>
  <si>
    <t>2" Submersible</t>
  </si>
  <si>
    <t>4" Submersible</t>
  </si>
  <si>
    <t>3" Submersible</t>
  </si>
  <si>
    <t>BETA Dosing Pump</t>
  </si>
  <si>
    <t>replaced</t>
  </si>
  <si>
    <t>SIGMA Dosing Pump</t>
  </si>
  <si>
    <t>chemical pumps are fucked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</si>
</sst>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left"/>
    </xf>
    <xf numFmtId="164" fontId="0" fillId="0" borderId="4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4" xfId="0" applyFont="1" applyBorder="1" applyAlignment="1">
      <alignment horizontal="left"/>
    </xf>
    <xf numFmtId="164" fontId="0" fillId="3" borderId="4" xfId="0" applyNumberFormat="1" applyFill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17" fontId="0" fillId="0" borderId="0" xfId="0" applyNumberForma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left" vertical="center"/>
    </xf>
    <xf numFmtId="0" fontId="0" fillId="4" borderId="4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164" fontId="0" fillId="0" borderId="5" xfId="0" applyNumberFormat="1" applyBorder="1" applyAlignment="1">
      <alignment horizontal="left" vertical="center"/>
    </xf>
    <xf numFmtId="164" fontId="0" fillId="0" borderId="8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/>
    </xf>
    <xf numFmtId="164" fontId="0" fillId="0" borderId="9" xfId="0" applyNumberFormat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164" fontId="0" fillId="0" borderId="10" xfId="0" applyNumberFormat="1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0" xfId="0" quotePrefix="1" applyFill="1" applyBorder="1" applyAlignment="1">
      <alignment horizontal="left"/>
    </xf>
    <xf numFmtId="164" fontId="0" fillId="5" borderId="10" xfId="0" applyNumberFormat="1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49" fontId="0" fillId="0" borderId="10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164" fontId="0" fillId="5" borderId="13" xfId="0" applyNumberFormat="1" applyFill="1" applyBorder="1" applyAlignment="1">
      <alignment horizontal="left"/>
    </xf>
    <xf numFmtId="14" fontId="0" fillId="5" borderId="13" xfId="0" applyNumberFormat="1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4" fillId="0" borderId="10" xfId="1" applyBorder="1"/>
    <xf numFmtId="164" fontId="0" fillId="5" borderId="17" xfId="0" applyNumberFormat="1" applyFill="1" applyBorder="1" applyAlignment="1">
      <alignment horizontal="left"/>
    </xf>
    <xf numFmtId="0" fontId="0" fillId="5" borderId="17" xfId="0" applyFill="1" applyBorder="1" applyAlignment="1">
      <alignment horizontal="left"/>
    </xf>
    <xf numFmtId="0" fontId="0" fillId="0" borderId="13" xfId="0" applyBorder="1" applyAlignment="1">
      <alignment horizontal="left"/>
    </xf>
    <xf numFmtId="164" fontId="0" fillId="0" borderId="17" xfId="0" applyNumberFormat="1" applyBorder="1" applyAlignment="1">
      <alignment horizontal="left"/>
    </xf>
    <xf numFmtId="164" fontId="0" fillId="0" borderId="13" xfId="0" applyNumberFormat="1" applyBorder="1" applyAlignment="1">
      <alignment horizontal="left"/>
    </xf>
    <xf numFmtId="14" fontId="0" fillId="0" borderId="13" xfId="0" applyNumberForma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8" xfId="0" applyFont="1" applyFill="1" applyBorder="1" applyAlignment="1">
      <alignment horizontal="left" wrapText="1"/>
    </xf>
    <xf numFmtId="0" fontId="0" fillId="0" borderId="19" xfId="0" applyBorder="1" applyAlignment="1">
      <alignment horizontal="left"/>
    </xf>
    <xf numFmtId="0" fontId="0" fillId="5" borderId="19" xfId="0" applyFill="1" applyBorder="1" applyAlignment="1">
      <alignment horizontal="left"/>
    </xf>
    <xf numFmtId="0" fontId="0" fillId="0" borderId="18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4" fillId="3" borderId="4" xfId="1" applyNumberFormat="1" applyFill="1" applyBorder="1" applyAlignment="1">
      <alignment horizontal="left"/>
    </xf>
    <xf numFmtId="164" fontId="0" fillId="0" borderId="0" xfId="0" applyNumberFormat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  <xf numFmtId="0" fontId="0" fillId="5" borderId="12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2" fillId="0" borderId="6" xfId="0" applyFont="1" applyBorder="1" applyAlignment="1">
      <alignment horizontal="left"/>
    </xf>
    <xf numFmtId="0" fontId="7" fillId="0" borderId="10" xfId="0" applyFont="1" applyBorder="1" applyAlignment="1">
      <alignment horizontal="left"/>
    </xf>
  </cellXfs>
  <cellStyles count="2">
    <cellStyle name="Normal" xfId="0" builtinId="0"/>
    <cellStyle name="Normal 2" xfId="1" xr:uid="{84664C61-458C-465E-9F74-3D1CD7A96CE6}"/>
  </cellStyles>
  <dxfs count="86"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;@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41238-B8AA-42F8-980F-A0F39CF45CE4}" name="Generators" displayName="Generators" ref="A1:L28" totalsRowShown="0" headerRowDxfId="85" dataDxfId="84">
  <autoFilter ref="A1:L28" xr:uid="{4E841238-B8AA-42F8-980F-A0F39CF45CE4}"/>
  <sortState xmlns:xlrd2="http://schemas.microsoft.com/office/spreadsheetml/2017/richdata2" ref="A2:L28">
    <sortCondition ref="A1:A28"/>
  </sortState>
  <tableColumns count="12">
    <tableColumn id="1" xr3:uid="{FBF01029-8468-45F8-8289-F1508C6D786C}" name="SAGE REFERENCE" dataDxfId="83"/>
    <tableColumn id="2" xr3:uid="{EC225BC8-04F4-4324-B0DE-B4CD46E03F66}" name="Equipment type " dataDxfId="82"/>
    <tableColumn id="3" xr3:uid="{37107A79-CB14-4F32-9AF9-46348026DEEC}" name="Model " dataDxfId="81"/>
    <tableColumn id="4" xr3:uid="{74379293-C2C2-40ED-A7CE-6BC0F776D9A0}" name="Serial Number"/>
    <tableColumn id="5" xr3:uid="{E4D44111-B1DF-484F-9884-E96DC694E68B}" name="Date into Service" dataDxfId="80"/>
    <tableColumn id="6" xr3:uid="{BDAFA9A1-B7D9-4D3F-B9F2-37BCAE981C7F}" name="Last Service" dataDxfId="79"/>
    <tableColumn id="7" xr3:uid="{4B95D808-A111-42A5-93AB-44AA25A09A8E}" name="Next Service" dataDxfId="78"/>
    <tableColumn id="8" xr3:uid="{0EAA17DF-9A0C-43F3-A5A7-AE7960F67890}" name="Service status" dataDxfId="77">
      <calculatedColumnFormula>IF(G2&lt;TODAY(),"Service overdue","In Service")</calculatedColumnFormula>
    </tableColumn>
    <tableColumn id="9" xr3:uid="{E758CE80-AE90-4337-8979-209D9A5D3CF5}" name="Days to next service" dataDxfId="76">
      <calculatedColumnFormula>IF((G2-TODAY())&gt;0,(G2-TODAY()),"N/a")</calculatedColumnFormula>
    </tableColumn>
    <tableColumn id="10" xr3:uid="{5F6881B6-5E1F-4282-A48D-BDABFEE16414}" name="Location" dataDxfId="75"/>
    <tableColumn id="11" xr3:uid="{90463963-07D5-41E4-BF61-BFD7B42D2A8F}" name="Notes" dataDxfId="74"/>
    <tableColumn id="12" xr3:uid="{C591FF9E-CAEC-4B9E-9E09-27AF2E069563}" name="QR Applied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265275-5EEA-4462-A9DC-E2989E840827}" name="Pumps" displayName="Pumps" ref="A1:L35" totalsRowShown="0" headerRowDxfId="72">
  <autoFilter ref="A1:L35" xr:uid="{67265275-5EEA-4462-A9DC-E2989E840827}"/>
  <sortState xmlns:xlrd2="http://schemas.microsoft.com/office/spreadsheetml/2017/richdata2" ref="A2:L35">
    <sortCondition ref="B1:B35"/>
  </sortState>
  <tableColumns count="12">
    <tableColumn id="1" xr3:uid="{1BE48298-1B91-4744-B3D3-BA050AC2ACFD}" name="SAGE REFERENCE" dataDxfId="71"/>
    <tableColumn id="2" xr3:uid="{4361A13A-1C0E-4041-A030-F8B6A5049A1A}" name="Equipment type " dataDxfId="70"/>
    <tableColumn id="3" xr3:uid="{1410BC8F-319B-413D-9750-2DF21C5104C5}" name="Model "/>
    <tableColumn id="4" xr3:uid="{9A33259E-1B32-469E-96CA-0AC38B70E7E1}" name="Serial Number" dataDxfId="69"/>
    <tableColumn id="5" xr3:uid="{0A0B60EC-CBD9-41EE-B828-D30664154015}" name="Date into Service" dataDxfId="68"/>
    <tableColumn id="6" xr3:uid="{A1796AD3-051E-44A1-BD78-8586A5CF03F3}" name="Last Service" dataDxfId="67"/>
    <tableColumn id="7" xr3:uid="{B5B6D5BC-6114-4BBB-B306-294ACAD488AE}" name="Next Service" dataDxfId="66">
      <calculatedColumnFormula>EDATE(F2,6)</calculatedColumnFormula>
    </tableColumn>
    <tableColumn id="8" xr3:uid="{CEC7940B-1955-48EE-B0B2-374E88B1714C}" name="Service status" dataDxfId="65">
      <calculatedColumnFormula>IF(G2&lt;TODAY(),"Service overdue","In Service")</calculatedColumnFormula>
    </tableColumn>
    <tableColumn id="9" xr3:uid="{606DAEDD-1E85-49C5-9139-2565DADF64D7}" name="Days to next service" dataDxfId="64">
      <calculatedColumnFormula>IF((G2-TODAY())&gt;0,(G2-TODAY()),"N/a")</calculatedColumnFormula>
    </tableColumn>
    <tableColumn id="10" xr3:uid="{CDC6DD74-02CA-4BC2-A2AE-5F3CCEBFCAB7}" name="Location" dataDxfId="63"/>
    <tableColumn id="11" xr3:uid="{FEC82889-F1E7-4DEA-9649-67DAB0E24C8B}" name="Notes" dataDxfId="62"/>
    <tableColumn id="12" xr3:uid="{E0E8DE59-8C63-4D3B-8ECF-AE97D0D7841B}" name="QR Applied" dataDxfId="6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64EB1D-0653-4FBA-BE40-AF3278217271}" name="Subs" displayName="Subs" ref="A1:L28" totalsRowShown="0" headerRowDxfId="60">
  <autoFilter ref="A1:L28" xr:uid="{5264EB1D-0653-4FBA-BE40-AF3278217271}"/>
  <tableColumns count="12">
    <tableColumn id="1" xr3:uid="{94F05F34-F349-4181-A542-E52629C9E211}" name="SAGE REFERENCE" dataDxfId="59"/>
    <tableColumn id="2" xr3:uid="{B2998673-879F-462C-B926-F678E0D52D3C}" name="Equipment type " dataDxfId="58"/>
    <tableColumn id="3" xr3:uid="{390F5B0D-42AB-41CD-A60C-1968F68454DF}" name="Model " dataDxfId="57"/>
    <tableColumn id="4" xr3:uid="{9DD80FAC-5B50-493A-9407-465B86E399D4}" name="Serial Number" dataDxfId="56"/>
    <tableColumn id="5" xr3:uid="{40E0B144-4F24-4AED-9991-D68BC84D18F8}" name="Date into Service" dataDxfId="55"/>
    <tableColumn id="6" xr3:uid="{FE144FC2-5CD5-4A35-BEF7-F5433E635BFA}" name="Last Service" dataDxfId="54"/>
    <tableColumn id="7" xr3:uid="{E115D80D-1021-419C-8E36-14132EEE8DB3}" name="Next Service" dataDxfId="53"/>
    <tableColumn id="8" xr3:uid="{B56BBCEC-2EA7-4FC8-8C0F-4867CD1B2D62}" name="Service status" dataDxfId="52"/>
    <tableColumn id="9" xr3:uid="{EA3C5FC1-1FDD-4A20-B085-615154512CA5}" name="Days to next service" dataDxfId="51"/>
    <tableColumn id="10" xr3:uid="{91115C14-BB48-43C1-91A7-8EECC8D4C95E}" name="Location" dataDxfId="50"/>
    <tableColumn id="11" xr3:uid="{CFD7031D-6696-4A9F-B4B4-6C1502D766D0}" name="Notes" dataDxfId="49"/>
    <tableColumn id="12" xr3:uid="{16D13AE1-A43C-4D23-926B-FFF963A1206D}" name="QR Applied" dataDxfId="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B46473-0F56-4697-9E05-105E91D7F79C}" name="Dosing" displayName="Dosing" ref="A1:K9" totalsRowShown="0" headerRowDxfId="47" dataDxfId="46" tableBorderDxfId="45">
  <autoFilter ref="A1:K9" xr:uid="{3CB46473-0F56-4697-9E05-105E91D7F79C}"/>
  <tableColumns count="11">
    <tableColumn id="1" xr3:uid="{78FBB022-4BB0-4456-A165-7CCF3961FC50}" name="SAGE REFERENCE" dataDxfId="44"/>
    <tableColumn id="2" xr3:uid="{1357E97B-6CCF-4EDD-A644-D2EFA80150B6}" name="Equipment type " dataDxfId="43"/>
    <tableColumn id="3" xr3:uid="{A7FDDD8B-EEE1-4643-BF76-6562F3C57913}" name="Model " dataDxfId="42"/>
    <tableColumn id="4" xr3:uid="{17707999-51FA-45D4-89F9-28C44EA09143}" name="Serial Number" dataDxfId="41"/>
    <tableColumn id="5" xr3:uid="{A621761E-8987-49F7-A3C9-95D450D627CB}" name="Date into Service" dataDxfId="40"/>
    <tableColumn id="6" xr3:uid="{F77E0786-880E-4E7B-B155-07D0C2AF24EF}" name="Last Service" dataDxfId="39"/>
    <tableColumn id="7" xr3:uid="{CC5D4B36-C3BE-4201-B836-4DCC3F9050FB}" name="Next Service" dataDxfId="38"/>
    <tableColumn id="8" xr3:uid="{8B04D38A-1842-408A-904F-30CA73458362}" name="Service status" dataDxfId="37"/>
    <tableColumn id="9" xr3:uid="{D86BD887-89A0-4456-B6A9-E6800690CAC8}" name="Days to next service" dataDxfId="36"/>
    <tableColumn id="10" xr3:uid="{5E10A458-67BF-4206-BB92-B826AC314BFD}" name="Location" dataDxfId="35"/>
    <tableColumn id="11" xr3:uid="{BECA969B-8F29-4B41-8ACC-1560629B4A30}" name="Notes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2F16-B5F3-44C1-B803-E23F41653FF2}">
  <dimension ref="A1:L28"/>
  <sheetViews>
    <sheetView tabSelected="1" zoomScale="80" zoomScaleNormal="80" workbookViewId="0">
      <selection activeCell="D6" sqref="D6"/>
    </sheetView>
  </sheetViews>
  <sheetFormatPr defaultRowHeight="15" x14ac:dyDescent="0.25"/>
  <cols>
    <col min="1" max="1" width="19.140625" customWidth="1"/>
    <col min="2" max="2" width="17.140625" customWidth="1"/>
    <col min="3" max="3" width="13.5703125" bestFit="1" customWidth="1"/>
    <col min="4" max="4" width="28.140625" bestFit="1" customWidth="1"/>
    <col min="5" max="5" width="18" customWidth="1"/>
    <col min="6" max="6" width="14" customWidth="1"/>
    <col min="7" max="7" width="14.140625" customWidth="1"/>
    <col min="8" max="8" width="15.7109375" customWidth="1"/>
    <col min="9" max="9" width="20.7109375" customWidth="1"/>
    <col min="10" max="10" width="12.42578125" bestFit="1" customWidth="1"/>
    <col min="11" max="11" width="19.42578125" customWidth="1"/>
    <col min="12" max="12" width="1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</row>
    <row r="2" spans="1:12" x14ac:dyDescent="0.25">
      <c r="A2" s="7" t="s">
        <v>17</v>
      </c>
      <c r="B2" s="7" t="s">
        <v>13</v>
      </c>
      <c r="C2" s="7"/>
      <c r="D2" s="12" t="s">
        <v>18</v>
      </c>
      <c r="E2" s="13">
        <v>42317</v>
      </c>
      <c r="F2" s="9">
        <v>45884</v>
      </c>
      <c r="G2" s="10">
        <f>EDATE(F2,6)</f>
        <v>46068</v>
      </c>
      <c r="H2" s="7" t="str">
        <f t="shared" ref="H2:H28" ca="1" si="0">IF(G2&lt;TODAY(),"Service overdue","In Service")</f>
        <v>Service overdue</v>
      </c>
      <c r="I2" s="7" t="str">
        <f t="shared" ref="I2:I28" ca="1" si="1">IF((G2-TODAY())&gt;0,(G2-TODAY()),"N/a")</f>
        <v>N/a</v>
      </c>
      <c r="J2" s="7" t="s">
        <v>19</v>
      </c>
      <c r="K2" s="7"/>
      <c r="L2" s="11" t="b">
        <v>0</v>
      </c>
    </row>
    <row r="3" spans="1:12" x14ac:dyDescent="0.25">
      <c r="A3" s="7" t="s">
        <v>79</v>
      </c>
      <c r="B3" s="7" t="s">
        <v>80</v>
      </c>
      <c r="C3" s="7"/>
      <c r="D3" s="7" t="s">
        <v>81</v>
      </c>
      <c r="E3" s="57">
        <v>42801</v>
      </c>
      <c r="F3" s="9">
        <v>45748</v>
      </c>
      <c r="G3" s="10">
        <f>EDATE(F3,12)</f>
        <v>46113</v>
      </c>
      <c r="H3" s="7" t="str">
        <f t="shared" ca="1" si="0"/>
        <v>Service overdue</v>
      </c>
      <c r="I3" s="7" t="str">
        <f t="shared" ca="1" si="1"/>
        <v>N/a</v>
      </c>
      <c r="J3" s="7" t="s">
        <v>29</v>
      </c>
      <c r="K3" s="7"/>
      <c r="L3" s="11" t="b">
        <v>0</v>
      </c>
    </row>
    <row r="4" spans="1:12" x14ac:dyDescent="0.25">
      <c r="A4" s="18" t="s">
        <v>82</v>
      </c>
      <c r="B4" s="7" t="s">
        <v>80</v>
      </c>
      <c r="C4" s="7"/>
      <c r="D4" s="7" t="s">
        <v>83</v>
      </c>
      <c r="E4" s="57">
        <v>42801</v>
      </c>
      <c r="F4" s="9">
        <v>45748</v>
      </c>
      <c r="G4" s="10">
        <f>EDATE(F4,12)</f>
        <v>46113</v>
      </c>
      <c r="H4" s="7" t="str">
        <f t="shared" ca="1" si="0"/>
        <v>Service overdue</v>
      </c>
      <c r="I4" s="7" t="str">
        <f t="shared" ca="1" si="1"/>
        <v>N/a</v>
      </c>
      <c r="J4" s="7" t="s">
        <v>29</v>
      </c>
      <c r="K4" s="7"/>
      <c r="L4" s="11" t="b">
        <v>0</v>
      </c>
    </row>
    <row r="5" spans="1:12" x14ac:dyDescent="0.25">
      <c r="A5" s="7" t="s">
        <v>12</v>
      </c>
      <c r="B5" s="7" t="s">
        <v>13</v>
      </c>
      <c r="C5" s="7"/>
      <c r="D5" s="7" t="s">
        <v>14</v>
      </c>
      <c r="E5" s="8" t="s">
        <v>15</v>
      </c>
      <c r="F5" s="9">
        <v>45782</v>
      </c>
      <c r="G5" s="10">
        <f>EDATE(F5,6)</f>
        <v>45966</v>
      </c>
      <c r="H5" s="7" t="str">
        <f t="shared" ca="1" si="0"/>
        <v>Service overdue</v>
      </c>
      <c r="I5" s="7" t="str">
        <f t="shared" ca="1" si="1"/>
        <v>N/a</v>
      </c>
      <c r="J5" s="7"/>
      <c r="K5" s="7" t="s">
        <v>16</v>
      </c>
      <c r="L5" s="11" t="b">
        <v>0</v>
      </c>
    </row>
    <row r="6" spans="1:12" x14ac:dyDescent="0.25">
      <c r="A6" s="7" t="s">
        <v>20</v>
      </c>
      <c r="B6" s="7" t="s">
        <v>21</v>
      </c>
      <c r="C6" s="7"/>
      <c r="D6" s="12" t="s">
        <v>22</v>
      </c>
      <c r="E6" s="8" t="s">
        <v>23</v>
      </c>
      <c r="F6" s="9">
        <v>45894</v>
      </c>
      <c r="G6" s="10">
        <f>EDATE(F6,6)</f>
        <v>46078</v>
      </c>
      <c r="H6" s="7" t="str">
        <f t="shared" ca="1" si="0"/>
        <v>Service overdue</v>
      </c>
      <c r="I6" s="7" t="str">
        <f t="shared" ca="1" si="1"/>
        <v>N/a</v>
      </c>
      <c r="J6" s="7" t="s">
        <v>24</v>
      </c>
      <c r="K6" s="7"/>
      <c r="L6" s="11" t="b">
        <v>0</v>
      </c>
    </row>
    <row r="7" spans="1:12" x14ac:dyDescent="0.25">
      <c r="A7" s="7" t="s">
        <v>27</v>
      </c>
      <c r="B7" s="7" t="s">
        <v>21</v>
      </c>
      <c r="C7" s="7"/>
      <c r="D7" s="7" t="s">
        <v>28</v>
      </c>
      <c r="E7" s="8">
        <v>44901</v>
      </c>
      <c r="F7" s="9">
        <v>45770</v>
      </c>
      <c r="G7" s="10">
        <f>EDATE(F7,12)</f>
        <v>46135</v>
      </c>
      <c r="H7" s="7" t="str">
        <f t="shared" ca="1" si="0"/>
        <v>In Service</v>
      </c>
      <c r="I7" s="7">
        <f t="shared" ca="1" si="1"/>
        <v>20</v>
      </c>
      <c r="J7" s="7" t="s">
        <v>29</v>
      </c>
      <c r="K7" s="7" t="s">
        <v>30</v>
      </c>
      <c r="L7" s="11" t="b">
        <v>0</v>
      </c>
    </row>
    <row r="8" spans="1:12" x14ac:dyDescent="0.25">
      <c r="A8" s="7" t="s">
        <v>31</v>
      </c>
      <c r="B8" s="7" t="s">
        <v>21</v>
      </c>
      <c r="C8" s="7"/>
      <c r="D8" s="14" t="s">
        <v>32</v>
      </c>
      <c r="E8" s="8">
        <v>44901</v>
      </c>
      <c r="F8" s="9">
        <v>45770</v>
      </c>
      <c r="G8" s="10">
        <f>EDATE(F8,12)</f>
        <v>46135</v>
      </c>
      <c r="H8" s="7" t="str">
        <f t="shared" ca="1" si="0"/>
        <v>In Service</v>
      </c>
      <c r="I8" s="7">
        <f t="shared" ca="1" si="1"/>
        <v>20</v>
      </c>
      <c r="J8" s="7" t="s">
        <v>29</v>
      </c>
      <c r="K8" s="7"/>
      <c r="L8" s="11" t="b">
        <v>0</v>
      </c>
    </row>
    <row r="9" spans="1:12" x14ac:dyDescent="0.25">
      <c r="A9" s="7" t="s">
        <v>25</v>
      </c>
      <c r="B9" s="7" t="s">
        <v>21</v>
      </c>
      <c r="C9" s="7"/>
      <c r="D9" s="7" t="s">
        <v>26</v>
      </c>
      <c r="E9" s="8">
        <v>44901</v>
      </c>
      <c r="F9" s="9">
        <v>46071</v>
      </c>
      <c r="G9" s="10">
        <f t="shared" ref="G9:G22" si="2">EDATE(F9,6)</f>
        <v>46252</v>
      </c>
      <c r="H9" s="7" t="str">
        <f t="shared" ca="1" si="0"/>
        <v>In Service</v>
      </c>
      <c r="I9" s="7">
        <f t="shared" ca="1" si="1"/>
        <v>137</v>
      </c>
      <c r="J9" s="7" t="s">
        <v>24</v>
      </c>
      <c r="K9" s="7"/>
      <c r="L9" s="11" t="b">
        <v>1</v>
      </c>
    </row>
    <row r="10" spans="1:12" x14ac:dyDescent="0.25">
      <c r="A10" s="7" t="s">
        <v>84</v>
      </c>
      <c r="B10" s="7" t="s">
        <v>85</v>
      </c>
      <c r="C10" s="7" t="s">
        <v>86</v>
      </c>
      <c r="D10" s="7" t="s">
        <v>87</v>
      </c>
      <c r="E10" s="8">
        <v>45017</v>
      </c>
      <c r="F10" s="9">
        <v>45938</v>
      </c>
      <c r="G10" s="10">
        <f t="shared" si="2"/>
        <v>46120</v>
      </c>
      <c r="H10" s="7" t="str">
        <f t="shared" ca="1" si="0"/>
        <v>In Service</v>
      </c>
      <c r="I10" s="7">
        <f t="shared" ca="1" si="1"/>
        <v>5</v>
      </c>
      <c r="J10" s="7" t="s">
        <v>47</v>
      </c>
      <c r="K10" s="7"/>
      <c r="L10" s="11" t="b">
        <v>0</v>
      </c>
    </row>
    <row r="11" spans="1:12" x14ac:dyDescent="0.25">
      <c r="A11" s="7" t="s">
        <v>41</v>
      </c>
      <c r="B11" s="7" t="s">
        <v>42</v>
      </c>
      <c r="C11" s="7" t="s">
        <v>43</v>
      </c>
      <c r="D11" s="16" t="s">
        <v>44</v>
      </c>
      <c r="E11" s="8">
        <v>45099</v>
      </c>
      <c r="F11" s="9">
        <v>45894</v>
      </c>
      <c r="G11" s="10">
        <f t="shared" si="2"/>
        <v>46078</v>
      </c>
      <c r="H11" s="7" t="str">
        <f t="shared" ca="1" si="0"/>
        <v>Service overdue</v>
      </c>
      <c r="I11" s="7" t="str">
        <f t="shared" ca="1" si="1"/>
        <v>N/a</v>
      </c>
      <c r="J11" s="7" t="s">
        <v>24</v>
      </c>
      <c r="K11" s="7"/>
      <c r="L11" s="11" t="b">
        <v>0</v>
      </c>
    </row>
    <row r="12" spans="1:12" x14ac:dyDescent="0.25">
      <c r="A12" s="18" t="s">
        <v>74</v>
      </c>
      <c r="B12" s="7" t="s">
        <v>64</v>
      </c>
      <c r="C12" s="7" t="s">
        <v>34</v>
      </c>
      <c r="D12" s="14" t="s">
        <v>75</v>
      </c>
      <c r="E12" s="8">
        <v>45372</v>
      </c>
      <c r="F12" s="9">
        <v>45884</v>
      </c>
      <c r="G12" s="10">
        <f t="shared" si="2"/>
        <v>46068</v>
      </c>
      <c r="H12" s="7" t="str">
        <f t="shared" ca="1" si="0"/>
        <v>Service overdue</v>
      </c>
      <c r="I12" s="7" t="str">
        <f t="shared" ca="1" si="1"/>
        <v>N/a</v>
      </c>
      <c r="J12" s="7"/>
      <c r="K12" s="7" t="s">
        <v>76</v>
      </c>
      <c r="L12" s="11" t="b">
        <v>0</v>
      </c>
    </row>
    <row r="13" spans="1:12" x14ac:dyDescent="0.25">
      <c r="A13" s="7" t="s">
        <v>33</v>
      </c>
      <c r="B13" s="7" t="s">
        <v>13</v>
      </c>
      <c r="C13" s="7" t="s">
        <v>34</v>
      </c>
      <c r="D13" s="14" t="s">
        <v>35</v>
      </c>
      <c r="E13" s="8">
        <v>45425</v>
      </c>
      <c r="F13" s="9">
        <v>46048</v>
      </c>
      <c r="G13" s="10">
        <f t="shared" si="2"/>
        <v>46229</v>
      </c>
      <c r="H13" s="7" t="str">
        <f t="shared" ca="1" si="0"/>
        <v>In Service</v>
      </c>
      <c r="I13" s="7">
        <f t="shared" ca="1" si="1"/>
        <v>114</v>
      </c>
      <c r="J13" s="7" t="s">
        <v>19</v>
      </c>
      <c r="K13" s="7" t="s">
        <v>36</v>
      </c>
      <c r="L13" s="15" t="b">
        <v>0</v>
      </c>
    </row>
    <row r="14" spans="1:12" x14ac:dyDescent="0.25">
      <c r="A14" s="7" t="s">
        <v>37</v>
      </c>
      <c r="B14" s="7" t="s">
        <v>13</v>
      </c>
      <c r="C14" s="7" t="s">
        <v>34</v>
      </c>
      <c r="D14" s="14" t="s">
        <v>38</v>
      </c>
      <c r="E14" s="8">
        <v>45425</v>
      </c>
      <c r="F14" s="9">
        <v>45894</v>
      </c>
      <c r="G14" s="10">
        <f t="shared" si="2"/>
        <v>46078</v>
      </c>
      <c r="H14" s="7" t="str">
        <f t="shared" ca="1" si="0"/>
        <v>Service overdue</v>
      </c>
      <c r="I14" s="7" t="str">
        <f t="shared" ca="1" si="1"/>
        <v>N/a</v>
      </c>
      <c r="J14" s="7"/>
      <c r="K14" s="7"/>
      <c r="L14" s="11" t="b">
        <v>0</v>
      </c>
    </row>
    <row r="15" spans="1:12" x14ac:dyDescent="0.25">
      <c r="A15" s="7" t="s">
        <v>39</v>
      </c>
      <c r="B15" s="7" t="s">
        <v>13</v>
      </c>
      <c r="C15" s="7" t="s">
        <v>34</v>
      </c>
      <c r="D15" s="14" t="s">
        <v>40</v>
      </c>
      <c r="E15" s="8">
        <v>45425</v>
      </c>
      <c r="F15" s="9">
        <v>45803</v>
      </c>
      <c r="G15" s="10">
        <f t="shared" si="2"/>
        <v>45987</v>
      </c>
      <c r="H15" s="7" t="str">
        <f t="shared" ca="1" si="0"/>
        <v>Service overdue</v>
      </c>
      <c r="I15" s="7" t="str">
        <f t="shared" ca="1" si="1"/>
        <v>N/a</v>
      </c>
      <c r="J15" s="7" t="s">
        <v>24</v>
      </c>
      <c r="K15" s="7"/>
      <c r="L15" s="11" t="b">
        <v>0</v>
      </c>
    </row>
    <row r="16" spans="1:12" x14ac:dyDescent="0.25">
      <c r="A16" s="7" t="s">
        <v>51</v>
      </c>
      <c r="B16" s="7" t="s">
        <v>42</v>
      </c>
      <c r="C16" s="7" t="s">
        <v>43</v>
      </c>
      <c r="D16" s="16" t="s">
        <v>52</v>
      </c>
      <c r="E16" s="8">
        <v>45425</v>
      </c>
      <c r="F16" s="9">
        <v>46071</v>
      </c>
      <c r="G16" s="10">
        <f t="shared" si="2"/>
        <v>46252</v>
      </c>
      <c r="H16" s="7" t="str">
        <f t="shared" ca="1" si="0"/>
        <v>In Service</v>
      </c>
      <c r="I16" s="7">
        <f t="shared" ca="1" si="1"/>
        <v>137</v>
      </c>
      <c r="J16" s="7" t="s">
        <v>53</v>
      </c>
      <c r="K16" s="7"/>
      <c r="L16" s="11" t="b">
        <v>0</v>
      </c>
    </row>
    <row r="17" spans="1:12" x14ac:dyDescent="0.25">
      <c r="A17" s="7" t="s">
        <v>48</v>
      </c>
      <c r="B17" s="7" t="s">
        <v>42</v>
      </c>
      <c r="C17" s="7" t="s">
        <v>43</v>
      </c>
      <c r="D17" s="16" t="s">
        <v>49</v>
      </c>
      <c r="E17" s="8">
        <v>45446</v>
      </c>
      <c r="F17" s="9">
        <v>45756</v>
      </c>
      <c r="G17" s="10">
        <f t="shared" si="2"/>
        <v>45939</v>
      </c>
      <c r="H17" s="7" t="str">
        <f t="shared" ca="1" si="0"/>
        <v>Service overdue</v>
      </c>
      <c r="I17" s="7" t="str">
        <f t="shared" ca="1" si="1"/>
        <v>N/a</v>
      </c>
      <c r="J17" s="7"/>
      <c r="K17" s="7" t="s">
        <v>50</v>
      </c>
      <c r="L17" s="11" t="b">
        <v>0</v>
      </c>
    </row>
    <row r="18" spans="1:12" x14ac:dyDescent="0.25">
      <c r="A18" s="7" t="s">
        <v>54</v>
      </c>
      <c r="B18" s="7" t="s">
        <v>42</v>
      </c>
      <c r="C18" s="7" t="s">
        <v>34</v>
      </c>
      <c r="D18" s="16" t="s">
        <v>55</v>
      </c>
      <c r="E18" s="8">
        <v>45446</v>
      </c>
      <c r="F18" s="9">
        <v>46010</v>
      </c>
      <c r="G18" s="10">
        <f t="shared" si="2"/>
        <v>46192</v>
      </c>
      <c r="H18" s="7" t="str">
        <f t="shared" ca="1" si="0"/>
        <v>In Service</v>
      </c>
      <c r="I18" s="7">
        <f t="shared" ca="1" si="1"/>
        <v>77</v>
      </c>
      <c r="J18" s="7" t="s">
        <v>24</v>
      </c>
      <c r="K18" s="7"/>
      <c r="L18" s="11" t="b">
        <v>1</v>
      </c>
    </row>
    <row r="19" spans="1:12" x14ac:dyDescent="0.25">
      <c r="A19" s="7" t="s">
        <v>45</v>
      </c>
      <c r="B19" s="7" t="s">
        <v>42</v>
      </c>
      <c r="C19" s="7" t="s">
        <v>34</v>
      </c>
      <c r="D19" s="16" t="s">
        <v>46</v>
      </c>
      <c r="E19" s="8">
        <v>45499</v>
      </c>
      <c r="F19" s="9">
        <v>45884</v>
      </c>
      <c r="G19" s="10">
        <f t="shared" si="2"/>
        <v>46068</v>
      </c>
      <c r="H19" s="7" t="str">
        <f t="shared" ca="1" si="0"/>
        <v>Service overdue</v>
      </c>
      <c r="I19" s="7" t="str">
        <f t="shared" ca="1" si="1"/>
        <v>N/a</v>
      </c>
      <c r="J19" s="7" t="s">
        <v>47</v>
      </c>
      <c r="K19" s="7"/>
      <c r="L19" s="11" t="b">
        <v>1</v>
      </c>
    </row>
    <row r="20" spans="1:12" x14ac:dyDescent="0.25">
      <c r="A20" s="7" t="s">
        <v>77</v>
      </c>
      <c r="B20" s="7" t="s">
        <v>64</v>
      </c>
      <c r="C20" s="7" t="s">
        <v>43</v>
      </c>
      <c r="D20" s="14" t="s">
        <v>78</v>
      </c>
      <c r="E20" s="8">
        <v>45552</v>
      </c>
      <c r="F20" s="9">
        <v>45938</v>
      </c>
      <c r="G20" s="10">
        <f t="shared" si="2"/>
        <v>46120</v>
      </c>
      <c r="H20" s="7" t="str">
        <f t="shared" ca="1" si="0"/>
        <v>In Service</v>
      </c>
      <c r="I20" s="7">
        <f t="shared" ca="1" si="1"/>
        <v>5</v>
      </c>
      <c r="J20" s="7"/>
      <c r="K20" s="7" t="s">
        <v>76</v>
      </c>
      <c r="L20" s="11" t="b">
        <v>0</v>
      </c>
    </row>
    <row r="21" spans="1:12" x14ac:dyDescent="0.25">
      <c r="A21" s="7" t="s">
        <v>72</v>
      </c>
      <c r="B21" s="7" t="s">
        <v>64</v>
      </c>
      <c r="C21" s="7" t="s">
        <v>43</v>
      </c>
      <c r="D21" s="12" t="s">
        <v>73</v>
      </c>
      <c r="E21" s="8">
        <v>45594</v>
      </c>
      <c r="F21" s="9">
        <v>45960</v>
      </c>
      <c r="G21" s="10">
        <f t="shared" si="2"/>
        <v>46142</v>
      </c>
      <c r="H21" s="7" t="str">
        <f t="shared" ca="1" si="0"/>
        <v>In Service</v>
      </c>
      <c r="I21" s="7">
        <f t="shared" ca="1" si="1"/>
        <v>27</v>
      </c>
      <c r="J21" s="7" t="s">
        <v>24</v>
      </c>
      <c r="K21" s="7"/>
      <c r="L21" s="11" t="b">
        <v>0</v>
      </c>
    </row>
    <row r="22" spans="1:12" x14ac:dyDescent="0.25">
      <c r="A22" s="7" t="s">
        <v>70</v>
      </c>
      <c r="B22" s="7" t="s">
        <v>64</v>
      </c>
      <c r="C22" s="7" t="s">
        <v>43</v>
      </c>
      <c r="D22" s="12" t="s">
        <v>71</v>
      </c>
      <c r="E22" s="8">
        <v>45674</v>
      </c>
      <c r="F22" s="9">
        <v>46071</v>
      </c>
      <c r="G22" s="10">
        <f t="shared" si="2"/>
        <v>46252</v>
      </c>
      <c r="H22" s="7" t="str">
        <f t="shared" ca="1" si="0"/>
        <v>In Service</v>
      </c>
      <c r="I22" s="7">
        <f t="shared" ca="1" si="1"/>
        <v>137</v>
      </c>
      <c r="J22" s="7" t="s">
        <v>24</v>
      </c>
      <c r="K22" s="7"/>
      <c r="L22" s="11" t="b">
        <v>1</v>
      </c>
    </row>
    <row r="23" spans="1:12" x14ac:dyDescent="0.25">
      <c r="A23" s="7" t="s">
        <v>63</v>
      </c>
      <c r="B23" s="7" t="s">
        <v>64</v>
      </c>
      <c r="C23" s="7" t="s">
        <v>34</v>
      </c>
      <c r="D23" s="12" t="s">
        <v>65</v>
      </c>
      <c r="E23" s="8">
        <v>45734</v>
      </c>
      <c r="F23" s="9">
        <v>45748</v>
      </c>
      <c r="G23" s="10">
        <f>EDATE(F23,12)</f>
        <v>46113</v>
      </c>
      <c r="H23" s="7" t="str">
        <f t="shared" ca="1" si="0"/>
        <v>Service overdue</v>
      </c>
      <c r="I23" s="7" t="str">
        <f t="shared" ca="1" si="1"/>
        <v>N/a</v>
      </c>
      <c r="J23" s="7" t="s">
        <v>29</v>
      </c>
      <c r="K23" s="7"/>
      <c r="L23" s="11" t="b">
        <v>0</v>
      </c>
    </row>
    <row r="24" spans="1:12" x14ac:dyDescent="0.25">
      <c r="A24" s="7" t="s">
        <v>66</v>
      </c>
      <c r="B24" s="7" t="s">
        <v>64</v>
      </c>
      <c r="C24" s="7" t="s">
        <v>34</v>
      </c>
      <c r="D24" s="12" t="s">
        <v>67</v>
      </c>
      <c r="E24" s="8">
        <v>45734</v>
      </c>
      <c r="F24" s="9">
        <v>45748</v>
      </c>
      <c r="G24" s="10">
        <f>EDATE(F24,12)</f>
        <v>46113</v>
      </c>
      <c r="H24" s="7" t="str">
        <f t="shared" ca="1" si="0"/>
        <v>Service overdue</v>
      </c>
      <c r="I24" s="7" t="str">
        <f t="shared" ca="1" si="1"/>
        <v>N/a</v>
      </c>
      <c r="J24" s="7" t="s">
        <v>29</v>
      </c>
      <c r="K24" s="7"/>
      <c r="L24" s="11" t="b">
        <v>0</v>
      </c>
    </row>
    <row r="25" spans="1:12" x14ac:dyDescent="0.25">
      <c r="A25" s="7" t="s">
        <v>57</v>
      </c>
      <c r="B25" s="7" t="s">
        <v>58</v>
      </c>
      <c r="C25" s="7" t="s">
        <v>34</v>
      </c>
      <c r="D25" s="12" t="s">
        <v>59</v>
      </c>
      <c r="E25" s="19">
        <v>45689</v>
      </c>
      <c r="F25" s="9">
        <v>45938</v>
      </c>
      <c r="G25" s="10">
        <f>EDATE(F25,6)</f>
        <v>46120</v>
      </c>
      <c r="H25" s="7" t="str">
        <f t="shared" ca="1" si="0"/>
        <v>In Service</v>
      </c>
      <c r="I25" s="7">
        <f t="shared" ca="1" si="1"/>
        <v>5</v>
      </c>
      <c r="J25" s="7" t="s">
        <v>24</v>
      </c>
      <c r="K25" s="7"/>
      <c r="L25" s="11" t="b">
        <v>1</v>
      </c>
    </row>
    <row r="26" spans="1:12" x14ac:dyDescent="0.25">
      <c r="A26" s="7" t="s">
        <v>60</v>
      </c>
      <c r="B26" s="7" t="s">
        <v>58</v>
      </c>
      <c r="C26" s="7" t="s">
        <v>34</v>
      </c>
      <c r="D26" s="62" t="s">
        <v>61</v>
      </c>
      <c r="E26" s="59">
        <v>45689</v>
      </c>
      <c r="F26" s="20">
        <v>45716</v>
      </c>
      <c r="G26" s="10">
        <f>EDATE(F26,6)</f>
        <v>45897</v>
      </c>
      <c r="H26" s="7" t="str">
        <f t="shared" ca="1" si="0"/>
        <v>Service overdue</v>
      </c>
      <c r="I26" s="7" t="str">
        <f t="shared" ca="1" si="1"/>
        <v>N/a</v>
      </c>
      <c r="J26" s="7"/>
      <c r="K26" s="7" t="s">
        <v>62</v>
      </c>
      <c r="L26" s="11" t="b">
        <v>0</v>
      </c>
    </row>
    <row r="27" spans="1:12" x14ac:dyDescent="0.25">
      <c r="A27" s="7" t="s">
        <v>68</v>
      </c>
      <c r="B27" s="7" t="s">
        <v>64</v>
      </c>
      <c r="C27" s="7" t="s">
        <v>43</v>
      </c>
      <c r="D27" s="14" t="s">
        <v>69</v>
      </c>
      <c r="E27" s="58">
        <v>45860</v>
      </c>
      <c r="F27" s="9">
        <v>46071</v>
      </c>
      <c r="G27" s="10">
        <f>EDATE(F27,6)</f>
        <v>46252</v>
      </c>
      <c r="H27" s="7" t="str">
        <f t="shared" ca="1" si="0"/>
        <v>In Service</v>
      </c>
      <c r="I27" s="7">
        <f t="shared" ca="1" si="1"/>
        <v>137</v>
      </c>
      <c r="J27" s="7" t="s">
        <v>19</v>
      </c>
      <c r="K27" s="7" t="s">
        <v>36</v>
      </c>
      <c r="L27" s="11" t="b">
        <v>0</v>
      </c>
    </row>
    <row r="28" spans="1:12" x14ac:dyDescent="0.25">
      <c r="A28" s="17"/>
      <c r="B28" s="7" t="s">
        <v>42</v>
      </c>
      <c r="C28" s="7" t="s">
        <v>34</v>
      </c>
      <c r="D28" s="12" t="s">
        <v>56</v>
      </c>
      <c r="E28" s="8">
        <v>45292</v>
      </c>
      <c r="F28" s="9">
        <v>46055</v>
      </c>
      <c r="G28" s="10">
        <f>EDATE(F28,6)</f>
        <v>46236</v>
      </c>
      <c r="H28" s="7" t="str">
        <f t="shared" ca="1" si="0"/>
        <v>In Service</v>
      </c>
      <c r="I28" s="7">
        <f t="shared" ca="1" si="1"/>
        <v>121</v>
      </c>
      <c r="J28" s="7" t="s">
        <v>24</v>
      </c>
      <c r="K28" s="7"/>
      <c r="L28" s="15" t="b">
        <v>1</v>
      </c>
    </row>
  </sheetData>
  <conditionalFormatting sqref="A1:A28">
    <cfRule type="containsBlanks" dxfId="33" priority="7">
      <formula>LEN(TRIM(A1))=0</formula>
    </cfRule>
  </conditionalFormatting>
  <conditionalFormatting sqref="E1:E28">
    <cfRule type="containsText" dxfId="32" priority="4" operator="containsText" text="Pre 2020">
      <formula>NOT(ISERROR(SEARCH("Pre 2020",E1)))</formula>
    </cfRule>
  </conditionalFormatting>
  <conditionalFormatting sqref="G2:G28">
    <cfRule type="expression" dxfId="31" priority="11">
      <formula>G2&lt;TODAY()</formula>
    </cfRule>
    <cfRule type="expression" dxfId="30" priority="12">
      <formula>G2&gt;TODAY()</formula>
    </cfRule>
  </conditionalFormatting>
  <conditionalFormatting sqref="H2:H28">
    <cfRule type="expression" dxfId="29" priority="9">
      <formula>G2&lt;TODAY()</formula>
    </cfRule>
    <cfRule type="expression" dxfId="28" priority="10">
      <formula>G2&gt;TODAY()</formula>
    </cfRule>
  </conditionalFormatting>
  <conditionalFormatting sqref="I2:I28">
    <cfRule type="colorScale" priority="13">
      <colorScale>
        <cfvo type="min"/>
        <cfvo type="max"/>
        <color rgb="FFFF7128"/>
        <color rgb="FFFFEF9C"/>
      </colorScale>
    </cfRule>
  </conditionalFormatting>
  <conditionalFormatting sqref="J1:J28">
    <cfRule type="containsText" dxfId="27" priority="8" operator="containsText" text="Wales">
      <formula>NOT(ISERROR(SEARCH("Wales",J1)))</formula>
    </cfRule>
  </conditionalFormatting>
  <conditionalFormatting sqref="K1:K28">
    <cfRule type="containsText" dxfId="26" priority="5" operator="containsText" text="QR">
      <formula>NOT(ISERROR(SEARCH("QR",K1)))</formula>
    </cfRule>
    <cfRule type="containsText" dxfId="25" priority="6" operator="containsText" text="Set for service">
      <formula>NOT(ISERROR(SEARCH("Set for service",K1)))</formula>
    </cfRule>
  </conditionalFormatting>
  <conditionalFormatting sqref="L2:L28">
    <cfRule type="containsText" dxfId="24" priority="1" operator="containsText" text="FALSE">
      <formula>NOT(ISERROR(SEARCH("FALSE",L2)))</formula>
    </cfRule>
    <cfRule type="containsText" dxfId="23" priority="2" operator="containsText" text="TRUE">
      <formula>NOT(ISERROR(SEARCH("TRUE",L2)))</formula>
    </cfRule>
    <cfRule type="containsText" dxfId="22" priority="3" operator="containsText" text="IDK">
      <formula>NOT(ISERROR(SEARCH("IDK",L2)))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D95E-4EAE-445E-95FE-33429B9AA9ED}">
  <dimension ref="A1:L35"/>
  <sheetViews>
    <sheetView zoomScale="80" zoomScaleNormal="80" workbookViewId="0">
      <selection activeCell="B3" sqref="B3"/>
    </sheetView>
  </sheetViews>
  <sheetFormatPr defaultRowHeight="15" x14ac:dyDescent="0.25"/>
  <cols>
    <col min="1" max="1" width="19.140625" customWidth="1"/>
    <col min="2" max="2" width="21.140625" bestFit="1" customWidth="1"/>
    <col min="3" max="3" width="9" customWidth="1"/>
    <col min="4" max="4" width="28.5703125" bestFit="1" customWidth="1"/>
    <col min="5" max="5" width="18" customWidth="1"/>
    <col min="6" max="6" width="14" customWidth="1"/>
    <col min="7" max="7" width="14.140625" customWidth="1"/>
    <col min="8" max="8" width="15.7109375" customWidth="1"/>
    <col min="9" max="9" width="20.7109375" customWidth="1"/>
    <col min="10" max="10" width="10.85546875" customWidth="1"/>
    <col min="11" max="11" width="15" customWidth="1"/>
    <col min="12" max="12" width="1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</row>
    <row r="2" spans="1:12" x14ac:dyDescent="0.25">
      <c r="A2" s="22" t="s">
        <v>110</v>
      </c>
      <c r="B2" s="22" t="s">
        <v>89</v>
      </c>
      <c r="C2" s="22" t="s">
        <v>90</v>
      </c>
      <c r="D2" s="22" t="s">
        <v>111</v>
      </c>
      <c r="E2" s="23" t="s">
        <v>23</v>
      </c>
      <c r="F2" s="23">
        <v>45894</v>
      </c>
      <c r="G2" s="24">
        <f t="shared" ref="G2:G20" si="0">EDATE(F2,6)</f>
        <v>46078</v>
      </c>
      <c r="H2" s="22" t="str">
        <f t="shared" ref="H2:H35" ca="1" si="1">IF(G2&lt;TODAY(),"Service overdue","In Service")</f>
        <v>Service overdue</v>
      </c>
      <c r="I2" s="22" t="str">
        <f t="shared" ref="I2:I35" ca="1" si="2">IF((G2-TODAY())&gt;0,(G2-TODAY()),"N/a")</f>
        <v>N/a</v>
      </c>
      <c r="J2" s="22" t="s">
        <v>47</v>
      </c>
      <c r="K2" s="22"/>
      <c r="L2" s="11" t="b">
        <v>1</v>
      </c>
    </row>
    <row r="3" spans="1:12" x14ac:dyDescent="0.25">
      <c r="A3" s="25" t="s">
        <v>115</v>
      </c>
      <c r="B3" s="25" t="s">
        <v>89</v>
      </c>
      <c r="C3" s="25" t="s">
        <v>90</v>
      </c>
      <c r="D3" s="51" t="s">
        <v>116</v>
      </c>
      <c r="E3" s="26" t="s">
        <v>15</v>
      </c>
      <c r="F3" s="26">
        <v>45960</v>
      </c>
      <c r="G3" s="27">
        <f t="shared" si="0"/>
        <v>46142</v>
      </c>
      <c r="H3" s="22" t="str">
        <f t="shared" ca="1" si="1"/>
        <v>In Service</v>
      </c>
      <c r="I3" s="25">
        <f t="shared" ca="1" si="2"/>
        <v>27</v>
      </c>
      <c r="J3" s="22" t="s">
        <v>24</v>
      </c>
      <c r="K3" s="25"/>
      <c r="L3" s="11" t="b">
        <v>1</v>
      </c>
    </row>
    <row r="4" spans="1:12" x14ac:dyDescent="0.25">
      <c r="A4" s="25" t="s">
        <v>112</v>
      </c>
      <c r="B4" s="25" t="s">
        <v>89</v>
      </c>
      <c r="C4" s="25" t="s">
        <v>90</v>
      </c>
      <c r="D4" s="25" t="s">
        <v>113</v>
      </c>
      <c r="E4" s="26" t="s">
        <v>15</v>
      </c>
      <c r="F4" s="26">
        <v>46010</v>
      </c>
      <c r="G4" s="24">
        <f t="shared" si="0"/>
        <v>46192</v>
      </c>
      <c r="H4" s="22" t="str">
        <f t="shared" ca="1" si="1"/>
        <v>In Service</v>
      </c>
      <c r="I4" s="22">
        <f t="shared" ca="1" si="2"/>
        <v>77</v>
      </c>
      <c r="J4" s="22" t="s">
        <v>24</v>
      </c>
      <c r="K4" s="25" t="s">
        <v>114</v>
      </c>
      <c r="L4" s="11" t="b">
        <v>1</v>
      </c>
    </row>
    <row r="5" spans="1:12" x14ac:dyDescent="0.25">
      <c r="A5" s="25" t="s">
        <v>122</v>
      </c>
      <c r="B5" s="25" t="s">
        <v>89</v>
      </c>
      <c r="C5" s="25" t="s">
        <v>90</v>
      </c>
      <c r="D5" s="25" t="s">
        <v>123</v>
      </c>
      <c r="E5" s="26" t="s">
        <v>15</v>
      </c>
      <c r="F5" s="26">
        <v>45938</v>
      </c>
      <c r="G5" s="24">
        <f t="shared" si="0"/>
        <v>46120</v>
      </c>
      <c r="H5" s="22" t="str">
        <f t="shared" ca="1" si="1"/>
        <v>In Service</v>
      </c>
      <c r="I5" s="22">
        <f t="shared" ca="1" si="2"/>
        <v>5</v>
      </c>
      <c r="J5" s="22" t="s">
        <v>24</v>
      </c>
      <c r="K5" s="25"/>
      <c r="L5" s="11" t="b">
        <v>0</v>
      </c>
    </row>
    <row r="6" spans="1:12" x14ac:dyDescent="0.25">
      <c r="A6" s="25" t="s">
        <v>134</v>
      </c>
      <c r="B6" s="25" t="s">
        <v>89</v>
      </c>
      <c r="C6" s="25" t="s">
        <v>131</v>
      </c>
      <c r="D6" s="25" t="s">
        <v>135</v>
      </c>
      <c r="E6" s="26" t="s">
        <v>15</v>
      </c>
      <c r="F6" s="26">
        <v>45736</v>
      </c>
      <c r="G6" s="27">
        <f t="shared" si="0"/>
        <v>45920</v>
      </c>
      <c r="H6" s="22" t="str">
        <f t="shared" ca="1" si="1"/>
        <v>Service overdue</v>
      </c>
      <c r="I6" s="25" t="str">
        <f t="shared" ca="1" si="2"/>
        <v>N/a</v>
      </c>
      <c r="J6" s="22"/>
      <c r="K6" s="25" t="s">
        <v>133</v>
      </c>
      <c r="L6" s="11" t="b">
        <v>0</v>
      </c>
    </row>
    <row r="7" spans="1:12" x14ac:dyDescent="0.25">
      <c r="A7" s="25" t="s">
        <v>125</v>
      </c>
      <c r="B7" s="25" t="s">
        <v>89</v>
      </c>
      <c r="C7" s="25" t="s">
        <v>90</v>
      </c>
      <c r="D7" s="25" t="s">
        <v>126</v>
      </c>
      <c r="E7" s="26" t="s">
        <v>15</v>
      </c>
      <c r="F7" s="26">
        <v>46048</v>
      </c>
      <c r="G7" s="27">
        <f t="shared" si="0"/>
        <v>46229</v>
      </c>
      <c r="H7" s="22" t="str">
        <f t="shared" ca="1" si="1"/>
        <v>In Service</v>
      </c>
      <c r="I7" s="25">
        <f t="shared" ca="1" si="2"/>
        <v>114</v>
      </c>
      <c r="J7" s="22" t="s">
        <v>24</v>
      </c>
      <c r="K7" s="25"/>
      <c r="L7" s="15" t="b">
        <v>1</v>
      </c>
    </row>
    <row r="8" spans="1:12" x14ac:dyDescent="0.25">
      <c r="A8" s="25" t="s">
        <v>94</v>
      </c>
      <c r="B8" s="25" t="s">
        <v>89</v>
      </c>
      <c r="C8" s="25" t="s">
        <v>90</v>
      </c>
      <c r="D8" s="25" t="s">
        <v>95</v>
      </c>
      <c r="E8" s="26">
        <v>44562</v>
      </c>
      <c r="F8" s="9">
        <v>45756</v>
      </c>
      <c r="G8" s="27">
        <f t="shared" si="0"/>
        <v>45939</v>
      </c>
      <c r="H8" s="22" t="str">
        <f t="shared" ca="1" si="1"/>
        <v>Service overdue</v>
      </c>
      <c r="I8" s="25" t="str">
        <f t="shared" ca="1" si="2"/>
        <v>N/a</v>
      </c>
      <c r="J8" s="22"/>
      <c r="K8" s="25" t="s">
        <v>96</v>
      </c>
      <c r="L8" s="11" t="b">
        <v>0</v>
      </c>
    </row>
    <row r="9" spans="1:12" x14ac:dyDescent="0.25">
      <c r="A9" s="25" t="s">
        <v>88</v>
      </c>
      <c r="B9" s="25" t="s">
        <v>89</v>
      </c>
      <c r="C9" s="25" t="s">
        <v>90</v>
      </c>
      <c r="D9" s="25" t="s">
        <v>91</v>
      </c>
      <c r="E9" s="26" t="s">
        <v>23</v>
      </c>
      <c r="F9" s="26">
        <v>45960</v>
      </c>
      <c r="G9" s="27">
        <f t="shared" si="0"/>
        <v>46142</v>
      </c>
      <c r="H9" s="22" t="str">
        <f t="shared" ca="1" si="1"/>
        <v>In Service</v>
      </c>
      <c r="I9" s="25">
        <f t="shared" ca="1" si="2"/>
        <v>27</v>
      </c>
      <c r="J9" s="22" t="s">
        <v>24</v>
      </c>
      <c r="K9" s="25"/>
      <c r="L9" s="11" t="b">
        <v>1</v>
      </c>
    </row>
    <row r="10" spans="1:12" x14ac:dyDescent="0.25">
      <c r="A10" s="25" t="s">
        <v>130</v>
      </c>
      <c r="B10" s="25" t="s">
        <v>89</v>
      </c>
      <c r="C10" s="25" t="s">
        <v>131</v>
      </c>
      <c r="D10" s="25" t="s">
        <v>132</v>
      </c>
      <c r="E10" s="26">
        <v>44287</v>
      </c>
      <c r="F10" s="26">
        <v>45736</v>
      </c>
      <c r="G10" s="27">
        <f t="shared" si="0"/>
        <v>45920</v>
      </c>
      <c r="H10" s="22" t="str">
        <f t="shared" ca="1" si="1"/>
        <v>Service overdue</v>
      </c>
      <c r="I10" s="25" t="str">
        <f t="shared" ca="1" si="2"/>
        <v>N/a</v>
      </c>
      <c r="J10" s="22"/>
      <c r="K10" s="25" t="s">
        <v>133</v>
      </c>
      <c r="L10" s="11" t="b">
        <v>0</v>
      </c>
    </row>
    <row r="11" spans="1:12" x14ac:dyDescent="0.25">
      <c r="A11" s="25" t="s">
        <v>120</v>
      </c>
      <c r="B11" s="25" t="s">
        <v>89</v>
      </c>
      <c r="C11" s="25" t="s">
        <v>90</v>
      </c>
      <c r="D11" s="25" t="s">
        <v>121</v>
      </c>
      <c r="E11" s="26" t="s">
        <v>15</v>
      </c>
      <c r="F11" s="26">
        <v>46010</v>
      </c>
      <c r="G11" s="24">
        <f t="shared" si="0"/>
        <v>46192</v>
      </c>
      <c r="H11" s="22" t="str">
        <f t="shared" ca="1" si="1"/>
        <v>In Service</v>
      </c>
      <c r="I11" s="22">
        <f t="shared" ca="1" si="2"/>
        <v>77</v>
      </c>
      <c r="J11" s="22" t="s">
        <v>24</v>
      </c>
      <c r="K11" s="25"/>
      <c r="L11" s="11" t="b">
        <v>1</v>
      </c>
    </row>
    <row r="12" spans="1:12" x14ac:dyDescent="0.25">
      <c r="A12" s="28" t="s">
        <v>117</v>
      </c>
      <c r="B12" s="28" t="s">
        <v>89</v>
      </c>
      <c r="C12" s="28" t="s">
        <v>90</v>
      </c>
      <c r="D12" s="29" t="s">
        <v>118</v>
      </c>
      <c r="E12" s="30" t="s">
        <v>15</v>
      </c>
      <c r="F12" s="30">
        <v>46010</v>
      </c>
      <c r="G12" s="31">
        <f t="shared" si="0"/>
        <v>46192</v>
      </c>
      <c r="H12" s="22" t="str">
        <f t="shared" ca="1" si="1"/>
        <v>In Service</v>
      </c>
      <c r="I12" s="36">
        <f t="shared" ca="1" si="2"/>
        <v>77</v>
      </c>
      <c r="J12" s="22" t="s">
        <v>24</v>
      </c>
      <c r="K12" s="28" t="s">
        <v>119</v>
      </c>
      <c r="L12" s="11" t="b">
        <v>1</v>
      </c>
    </row>
    <row r="13" spans="1:12" x14ac:dyDescent="0.25">
      <c r="A13" s="25" t="s">
        <v>97</v>
      </c>
      <c r="B13" s="25" t="s">
        <v>89</v>
      </c>
      <c r="C13" s="25" t="s">
        <v>90</v>
      </c>
      <c r="D13" s="25" t="s">
        <v>98</v>
      </c>
      <c r="E13" s="26">
        <v>44999</v>
      </c>
      <c r="F13" s="26">
        <v>45938</v>
      </c>
      <c r="G13" s="24">
        <f t="shared" si="0"/>
        <v>46120</v>
      </c>
      <c r="H13" s="22" t="str">
        <f t="shared" ca="1" si="1"/>
        <v>In Service</v>
      </c>
      <c r="I13" s="22">
        <f t="shared" ca="1" si="2"/>
        <v>5</v>
      </c>
      <c r="J13" s="22"/>
      <c r="K13" s="25"/>
      <c r="L13" s="11" t="b">
        <v>1</v>
      </c>
    </row>
    <row r="14" spans="1:12" x14ac:dyDescent="0.25">
      <c r="A14" s="25" t="s">
        <v>92</v>
      </c>
      <c r="B14" s="25" t="s">
        <v>89</v>
      </c>
      <c r="C14" s="25" t="s">
        <v>90</v>
      </c>
      <c r="D14" s="63" t="s">
        <v>93</v>
      </c>
      <c r="E14" s="26">
        <v>45017</v>
      </c>
      <c r="F14" s="26">
        <v>46055</v>
      </c>
      <c r="G14" s="27">
        <f t="shared" si="0"/>
        <v>46236</v>
      </c>
      <c r="H14" s="22" t="str">
        <f t="shared" ca="1" si="1"/>
        <v>In Service</v>
      </c>
      <c r="I14" s="25">
        <f t="shared" ca="1" si="2"/>
        <v>121</v>
      </c>
      <c r="J14" s="22" t="s">
        <v>24</v>
      </c>
      <c r="K14" s="25"/>
      <c r="L14" s="15" t="b">
        <v>1</v>
      </c>
    </row>
    <row r="15" spans="1:12" x14ac:dyDescent="0.25">
      <c r="A15" s="25" t="s">
        <v>127</v>
      </c>
      <c r="B15" s="25" t="s">
        <v>89</v>
      </c>
      <c r="C15" s="25" t="s">
        <v>90</v>
      </c>
      <c r="D15" s="25" t="s">
        <v>128</v>
      </c>
      <c r="E15" s="26" t="s">
        <v>15</v>
      </c>
      <c r="F15" s="30">
        <v>45797</v>
      </c>
      <c r="G15" s="24">
        <f t="shared" si="0"/>
        <v>45981</v>
      </c>
      <c r="H15" s="22" t="str">
        <f t="shared" ca="1" si="1"/>
        <v>Service overdue</v>
      </c>
      <c r="I15" s="36" t="str">
        <f t="shared" ca="1" si="2"/>
        <v>N/a</v>
      </c>
      <c r="J15" s="22"/>
      <c r="K15" s="25"/>
      <c r="L15" s="11" t="b">
        <v>0</v>
      </c>
    </row>
    <row r="16" spans="1:12" x14ac:dyDescent="0.25">
      <c r="A16" s="25" t="s">
        <v>99</v>
      </c>
      <c r="B16" s="25" t="s">
        <v>89</v>
      </c>
      <c r="C16" s="25" t="s">
        <v>90</v>
      </c>
      <c r="D16" s="25" t="s">
        <v>100</v>
      </c>
      <c r="E16" s="26">
        <v>45426</v>
      </c>
      <c r="F16" s="26">
        <v>46048</v>
      </c>
      <c r="G16" s="24">
        <f t="shared" si="0"/>
        <v>46229</v>
      </c>
      <c r="H16" s="22" t="str">
        <f t="shared" ca="1" si="1"/>
        <v>In Service</v>
      </c>
      <c r="I16" s="22">
        <f t="shared" ca="1" si="2"/>
        <v>114</v>
      </c>
      <c r="J16" s="22" t="s">
        <v>24</v>
      </c>
      <c r="K16" s="25"/>
      <c r="L16" s="15" t="b">
        <v>1</v>
      </c>
    </row>
    <row r="17" spans="1:12" x14ac:dyDescent="0.25">
      <c r="A17" s="25" t="s">
        <v>105</v>
      </c>
      <c r="B17" s="25" t="s">
        <v>89</v>
      </c>
      <c r="C17" s="25" t="s">
        <v>90</v>
      </c>
      <c r="D17" s="25" t="s">
        <v>106</v>
      </c>
      <c r="E17" s="26">
        <v>45502</v>
      </c>
      <c r="F17" s="26">
        <v>46055</v>
      </c>
      <c r="G17" s="24">
        <f t="shared" si="0"/>
        <v>46236</v>
      </c>
      <c r="H17" s="22" t="str">
        <f t="shared" ca="1" si="1"/>
        <v>In Service</v>
      </c>
      <c r="I17" s="22">
        <f t="shared" ca="1" si="2"/>
        <v>121</v>
      </c>
      <c r="J17" s="22" t="s">
        <v>24</v>
      </c>
      <c r="K17" s="25"/>
      <c r="L17" s="15" t="b">
        <v>1</v>
      </c>
    </row>
    <row r="18" spans="1:12" x14ac:dyDescent="0.25">
      <c r="A18" s="25" t="s">
        <v>101</v>
      </c>
      <c r="B18" s="25" t="s">
        <v>89</v>
      </c>
      <c r="C18" s="25" t="s">
        <v>90</v>
      </c>
      <c r="D18" s="25" t="s">
        <v>102</v>
      </c>
      <c r="E18" s="26">
        <v>45292</v>
      </c>
      <c r="F18" s="26">
        <v>45938</v>
      </c>
      <c r="G18" s="24">
        <f t="shared" si="0"/>
        <v>46120</v>
      </c>
      <c r="H18" s="22" t="str">
        <f t="shared" ca="1" si="1"/>
        <v>In Service</v>
      </c>
      <c r="I18" s="22">
        <f t="shared" ca="1" si="2"/>
        <v>5</v>
      </c>
      <c r="J18" s="22" t="s">
        <v>47</v>
      </c>
      <c r="K18" s="25"/>
      <c r="L18" s="11" t="b">
        <v>1</v>
      </c>
    </row>
    <row r="19" spans="1:12" x14ac:dyDescent="0.25">
      <c r="A19" s="7" t="s">
        <v>103</v>
      </c>
      <c r="B19" s="7" t="s">
        <v>89</v>
      </c>
      <c r="C19" s="7" t="s">
        <v>90</v>
      </c>
      <c r="D19" s="7" t="s">
        <v>104</v>
      </c>
      <c r="E19" s="9">
        <v>45687</v>
      </c>
      <c r="F19" s="9">
        <v>46071</v>
      </c>
      <c r="G19" s="33">
        <f t="shared" si="0"/>
        <v>46252</v>
      </c>
      <c r="H19" s="22" t="str">
        <f t="shared" ca="1" si="1"/>
        <v>In Service</v>
      </c>
      <c r="I19" s="25">
        <f t="shared" ca="1" si="2"/>
        <v>137</v>
      </c>
      <c r="J19" s="22" t="s">
        <v>24</v>
      </c>
      <c r="K19" s="7"/>
      <c r="L19" s="11" t="b">
        <v>1</v>
      </c>
    </row>
    <row r="20" spans="1:12" x14ac:dyDescent="0.25">
      <c r="A20" s="7" t="s">
        <v>107</v>
      </c>
      <c r="B20" s="7" t="s">
        <v>89</v>
      </c>
      <c r="C20" s="7" t="s">
        <v>90</v>
      </c>
      <c r="D20" s="7" t="s">
        <v>108</v>
      </c>
      <c r="E20" s="9">
        <v>45860</v>
      </c>
      <c r="F20" s="9"/>
      <c r="G20" s="33">
        <f t="shared" si="0"/>
        <v>182</v>
      </c>
      <c r="H20" s="25" t="str">
        <f t="shared" ca="1" si="1"/>
        <v>Service overdue</v>
      </c>
      <c r="I20" s="25" t="str">
        <f t="shared" ca="1" si="2"/>
        <v>N/a</v>
      </c>
      <c r="J20" s="22" t="s">
        <v>24</v>
      </c>
      <c r="K20" s="7" t="s">
        <v>109</v>
      </c>
      <c r="L20" s="11" t="b">
        <v>0</v>
      </c>
    </row>
    <row r="21" spans="1:12" x14ac:dyDescent="0.25">
      <c r="A21" s="25"/>
      <c r="B21" s="25" t="s">
        <v>89</v>
      </c>
      <c r="C21" s="25" t="s">
        <v>90</v>
      </c>
      <c r="D21" s="32" t="s">
        <v>124</v>
      </c>
      <c r="E21" s="26" t="s">
        <v>15</v>
      </c>
      <c r="F21" s="26">
        <v>45770</v>
      </c>
      <c r="G21" s="10">
        <f>EDATE(F21,12)</f>
        <v>46135</v>
      </c>
      <c r="H21" s="34" t="str">
        <f t="shared" ca="1" si="1"/>
        <v>In Service</v>
      </c>
      <c r="I21" s="25">
        <f t="shared" ca="1" si="2"/>
        <v>20</v>
      </c>
      <c r="J21" s="22" t="s">
        <v>29</v>
      </c>
      <c r="K21" s="25"/>
      <c r="L21" s="11" t="b">
        <v>0</v>
      </c>
    </row>
    <row r="22" spans="1:12" x14ac:dyDescent="0.25">
      <c r="A22" s="25"/>
      <c r="B22" s="25" t="s">
        <v>89</v>
      </c>
      <c r="C22" s="25"/>
      <c r="D22" s="25" t="s">
        <v>129</v>
      </c>
      <c r="E22" s="26" t="s">
        <v>15</v>
      </c>
      <c r="F22" s="26">
        <v>45748</v>
      </c>
      <c r="G22" s="24">
        <f>EDATE(F22,12)</f>
        <v>46113</v>
      </c>
      <c r="H22" s="22" t="str">
        <f t="shared" ca="1" si="1"/>
        <v>Service overdue</v>
      </c>
      <c r="I22" s="25" t="str">
        <f t="shared" ca="1" si="2"/>
        <v>N/a</v>
      </c>
      <c r="J22" s="22" t="s">
        <v>29</v>
      </c>
      <c r="K22" s="25"/>
      <c r="L22" s="11" t="b">
        <v>0</v>
      </c>
    </row>
    <row r="23" spans="1:12" x14ac:dyDescent="0.25">
      <c r="A23" s="25" t="s">
        <v>144</v>
      </c>
      <c r="B23" s="25" t="s">
        <v>137</v>
      </c>
      <c r="C23" s="25" t="s">
        <v>90</v>
      </c>
      <c r="D23" s="25" t="s">
        <v>145</v>
      </c>
      <c r="E23" s="26" t="s">
        <v>15</v>
      </c>
      <c r="F23" s="26">
        <v>46048</v>
      </c>
      <c r="G23" s="27">
        <f>EDATE(F23,6)</f>
        <v>46229</v>
      </c>
      <c r="H23" s="22" t="str">
        <f t="shared" ca="1" si="1"/>
        <v>In Service</v>
      </c>
      <c r="I23" s="25">
        <f t="shared" ca="1" si="2"/>
        <v>114</v>
      </c>
      <c r="J23" s="22" t="s">
        <v>24</v>
      </c>
      <c r="K23" s="25"/>
      <c r="L23" s="15" t="b">
        <v>1</v>
      </c>
    </row>
    <row r="24" spans="1:12" x14ac:dyDescent="0.25">
      <c r="A24" s="25" t="s">
        <v>148</v>
      </c>
      <c r="B24" s="25" t="s">
        <v>137</v>
      </c>
      <c r="C24" s="25" t="s">
        <v>90</v>
      </c>
      <c r="D24" s="25" t="s">
        <v>149</v>
      </c>
      <c r="E24" s="26" t="s">
        <v>15</v>
      </c>
      <c r="F24" s="26">
        <v>45894</v>
      </c>
      <c r="G24" s="27">
        <f>EDATE(F24,6)</f>
        <v>46078</v>
      </c>
      <c r="H24" s="22" t="str">
        <f t="shared" ca="1" si="1"/>
        <v>Service overdue</v>
      </c>
      <c r="I24" s="25" t="str">
        <f t="shared" ca="1" si="2"/>
        <v>N/a</v>
      </c>
      <c r="J24" s="22"/>
      <c r="K24" s="25" t="s">
        <v>150</v>
      </c>
      <c r="L24" s="11" t="b">
        <v>0</v>
      </c>
    </row>
    <row r="25" spans="1:12" x14ac:dyDescent="0.25">
      <c r="A25" s="7" t="s">
        <v>146</v>
      </c>
      <c r="B25" s="7" t="s">
        <v>137</v>
      </c>
      <c r="C25" s="7" t="s">
        <v>90</v>
      </c>
      <c r="D25" s="7" t="s">
        <v>147</v>
      </c>
      <c r="E25" s="9" t="s">
        <v>15</v>
      </c>
      <c r="F25" s="9">
        <v>45807</v>
      </c>
      <c r="G25" s="10">
        <f>EDATE(F25,12)</f>
        <v>46172</v>
      </c>
      <c r="H25" s="22" t="str">
        <f t="shared" ca="1" si="1"/>
        <v>In Service</v>
      </c>
      <c r="I25" s="25">
        <f t="shared" ca="1" si="2"/>
        <v>57</v>
      </c>
      <c r="J25" s="22" t="s">
        <v>29</v>
      </c>
      <c r="K25" s="7"/>
      <c r="L25" s="11" t="b">
        <v>0</v>
      </c>
    </row>
    <row r="26" spans="1:12" x14ac:dyDescent="0.25">
      <c r="A26" s="25" t="s">
        <v>136</v>
      </c>
      <c r="B26" s="25" t="s">
        <v>137</v>
      </c>
      <c r="C26" s="25" t="s">
        <v>131</v>
      </c>
      <c r="D26" s="25" t="s">
        <v>138</v>
      </c>
      <c r="E26" s="26">
        <v>44743</v>
      </c>
      <c r="F26" s="26">
        <v>45960</v>
      </c>
      <c r="G26" s="27">
        <f>EDATE(F26,6)</f>
        <v>46142</v>
      </c>
      <c r="H26" s="22" t="str">
        <f t="shared" ca="1" si="1"/>
        <v>In Service</v>
      </c>
      <c r="I26" s="25">
        <f t="shared" ca="1" si="2"/>
        <v>27</v>
      </c>
      <c r="J26" s="22" t="s">
        <v>24</v>
      </c>
      <c r="K26" s="25"/>
      <c r="L26" s="11" t="b">
        <v>1</v>
      </c>
    </row>
    <row r="27" spans="1:12" x14ac:dyDescent="0.25">
      <c r="A27" s="28" t="s">
        <v>139</v>
      </c>
      <c r="B27" s="25" t="s">
        <v>137</v>
      </c>
      <c r="C27" s="25" t="s">
        <v>131</v>
      </c>
      <c r="D27" s="25" t="s">
        <v>140</v>
      </c>
      <c r="E27" s="26">
        <v>44743</v>
      </c>
      <c r="F27" s="26">
        <v>45894</v>
      </c>
      <c r="G27" s="27">
        <f>EDATE(F27,6)</f>
        <v>46078</v>
      </c>
      <c r="H27" s="22" t="str">
        <f t="shared" ca="1" si="1"/>
        <v>Service overdue</v>
      </c>
      <c r="I27" s="25" t="str">
        <f t="shared" ca="1" si="2"/>
        <v>N/a</v>
      </c>
      <c r="J27" s="22"/>
      <c r="K27" s="25" t="s">
        <v>141</v>
      </c>
      <c r="L27" s="11" t="b">
        <v>0</v>
      </c>
    </row>
    <row r="28" spans="1:12" x14ac:dyDescent="0.25">
      <c r="A28" s="25" t="s">
        <v>154</v>
      </c>
      <c r="B28" s="25" t="s">
        <v>137</v>
      </c>
      <c r="C28" s="25" t="s">
        <v>90</v>
      </c>
      <c r="D28" s="25" t="s">
        <v>155</v>
      </c>
      <c r="E28" s="26">
        <v>45292</v>
      </c>
      <c r="F28" s="26">
        <v>45884</v>
      </c>
      <c r="G28" s="27">
        <f>EDATE(F28,6)</f>
        <v>46068</v>
      </c>
      <c r="H28" s="22" t="str">
        <f t="shared" ca="1" si="1"/>
        <v>Service overdue</v>
      </c>
      <c r="I28" s="25" t="str">
        <f t="shared" ca="1" si="2"/>
        <v>N/a</v>
      </c>
      <c r="J28" s="22" t="s">
        <v>24</v>
      </c>
      <c r="K28" s="25"/>
      <c r="L28" s="11" t="b">
        <v>1</v>
      </c>
    </row>
    <row r="29" spans="1:12" x14ac:dyDescent="0.25">
      <c r="A29" s="25" t="s">
        <v>152</v>
      </c>
      <c r="B29" s="25" t="s">
        <v>137</v>
      </c>
      <c r="C29" s="25" t="s">
        <v>90</v>
      </c>
      <c r="D29" s="25" t="s">
        <v>153</v>
      </c>
      <c r="E29" s="26">
        <v>45529</v>
      </c>
      <c r="F29" s="26">
        <v>46048</v>
      </c>
      <c r="G29" s="27">
        <f>EDATE(F29,6)</f>
        <v>46229</v>
      </c>
      <c r="H29" s="22" t="str">
        <f t="shared" ca="1" si="1"/>
        <v>In Service</v>
      </c>
      <c r="I29" s="25">
        <f t="shared" ca="1" si="2"/>
        <v>114</v>
      </c>
      <c r="J29" s="22" t="s">
        <v>24</v>
      </c>
      <c r="K29" s="25"/>
      <c r="L29" s="11" t="b">
        <v>1</v>
      </c>
    </row>
    <row r="30" spans="1:12" x14ac:dyDescent="0.25">
      <c r="A30" s="25" t="s">
        <v>156</v>
      </c>
      <c r="B30" s="25" t="s">
        <v>137</v>
      </c>
      <c r="C30" s="25" t="s">
        <v>90</v>
      </c>
      <c r="D30" s="25" t="s">
        <v>157</v>
      </c>
      <c r="E30" s="26">
        <v>45538</v>
      </c>
      <c r="F30" s="26">
        <v>45748</v>
      </c>
      <c r="G30" s="27">
        <f>EDATE(F30,12)</f>
        <v>46113</v>
      </c>
      <c r="H30" s="22" t="str">
        <f t="shared" ca="1" si="1"/>
        <v>Service overdue</v>
      </c>
      <c r="I30" s="25" t="str">
        <f t="shared" ca="1" si="2"/>
        <v>N/a</v>
      </c>
      <c r="J30" s="22" t="s">
        <v>29</v>
      </c>
      <c r="K30" s="25"/>
      <c r="L30" s="11" t="b">
        <v>0</v>
      </c>
    </row>
    <row r="31" spans="1:12" x14ac:dyDescent="0.25">
      <c r="A31" s="25" t="s">
        <v>158</v>
      </c>
      <c r="B31" s="25" t="s">
        <v>137</v>
      </c>
      <c r="C31" s="25" t="s">
        <v>90</v>
      </c>
      <c r="D31" s="25" t="s">
        <v>159</v>
      </c>
      <c r="E31" s="26">
        <v>45538</v>
      </c>
      <c r="F31" s="26">
        <v>45884</v>
      </c>
      <c r="G31" s="27">
        <f>EDATE(F31,6)</f>
        <v>46068</v>
      </c>
      <c r="H31" s="22" t="str">
        <f t="shared" ca="1" si="1"/>
        <v>Service overdue</v>
      </c>
      <c r="I31" s="25" t="str">
        <f t="shared" ca="1" si="2"/>
        <v>N/a</v>
      </c>
      <c r="J31" s="22"/>
      <c r="K31" s="25" t="s">
        <v>150</v>
      </c>
      <c r="L31" s="11" t="b">
        <v>0</v>
      </c>
    </row>
    <row r="32" spans="1:12" x14ac:dyDescent="0.25">
      <c r="A32" s="25" t="s">
        <v>160</v>
      </c>
      <c r="B32" s="25" t="s">
        <v>137</v>
      </c>
      <c r="C32" s="35" t="s">
        <v>131</v>
      </c>
      <c r="D32" s="25" t="s">
        <v>161</v>
      </c>
      <c r="E32" s="26">
        <v>45999</v>
      </c>
      <c r="F32" s="26">
        <v>45999</v>
      </c>
      <c r="G32" s="27">
        <f>EDATE(F32,6)</f>
        <v>46181</v>
      </c>
      <c r="H32" s="22" t="str">
        <f t="shared" ca="1" si="1"/>
        <v>In Service</v>
      </c>
      <c r="I32" s="25">
        <f t="shared" ca="1" si="2"/>
        <v>66</v>
      </c>
      <c r="J32" s="22" t="s">
        <v>24</v>
      </c>
      <c r="K32" s="25" t="s">
        <v>150</v>
      </c>
      <c r="L32" s="11" t="b">
        <v>0</v>
      </c>
    </row>
    <row r="33" spans="1:12" x14ac:dyDescent="0.25">
      <c r="A33" s="60"/>
      <c r="B33" s="61" t="s">
        <v>137</v>
      </c>
      <c r="C33" s="18" t="s">
        <v>131</v>
      </c>
      <c r="D33" s="61" t="s">
        <v>142</v>
      </c>
      <c r="E33" s="30" t="s">
        <v>15</v>
      </c>
      <c r="F33" s="30">
        <v>46048</v>
      </c>
      <c r="G33" s="31">
        <f>EDATE(F33,6)</f>
        <v>46229</v>
      </c>
      <c r="H33" s="22" t="str">
        <f t="shared" ca="1" si="1"/>
        <v>In Service</v>
      </c>
      <c r="I33" s="28">
        <f t="shared" ca="1" si="2"/>
        <v>114</v>
      </c>
      <c r="J33" s="22" t="s">
        <v>24</v>
      </c>
      <c r="K33" s="28"/>
      <c r="L33" s="15" t="b">
        <v>1</v>
      </c>
    </row>
    <row r="34" spans="1:12" x14ac:dyDescent="0.25">
      <c r="A34" s="25"/>
      <c r="B34" s="25" t="s">
        <v>137</v>
      </c>
      <c r="C34" s="22" t="s">
        <v>90</v>
      </c>
      <c r="D34" s="25" t="s">
        <v>143</v>
      </c>
      <c r="E34" s="26" t="s">
        <v>15</v>
      </c>
      <c r="F34" s="26">
        <v>45960</v>
      </c>
      <c r="G34" s="27">
        <f>EDATE(F34,6)</f>
        <v>46142</v>
      </c>
      <c r="H34" s="22" t="str">
        <f t="shared" ca="1" si="1"/>
        <v>In Service</v>
      </c>
      <c r="I34" s="25">
        <f t="shared" ca="1" si="2"/>
        <v>27</v>
      </c>
      <c r="J34" s="22" t="s">
        <v>24</v>
      </c>
      <c r="K34" s="25"/>
      <c r="L34" s="11" t="b">
        <v>0</v>
      </c>
    </row>
    <row r="35" spans="1:12" x14ac:dyDescent="0.25">
      <c r="A35" s="25"/>
      <c r="B35" s="25" t="s">
        <v>137</v>
      </c>
      <c r="C35" s="22" t="s">
        <v>90</v>
      </c>
      <c r="D35" s="25" t="s">
        <v>151</v>
      </c>
      <c r="E35" s="26" t="s">
        <v>15</v>
      </c>
      <c r="F35" s="26">
        <v>45748</v>
      </c>
      <c r="G35" s="27">
        <f>EDATE(F35,12)</f>
        <v>46113</v>
      </c>
      <c r="H35" s="22" t="str">
        <f t="shared" ca="1" si="1"/>
        <v>Service overdue</v>
      </c>
      <c r="I35" s="25" t="str">
        <f t="shared" ca="1" si="2"/>
        <v>N/a</v>
      </c>
      <c r="J35" s="22" t="s">
        <v>29</v>
      </c>
      <c r="K35" s="25"/>
      <c r="L35" s="11" t="b">
        <v>0</v>
      </c>
    </row>
  </sheetData>
  <conditionalFormatting sqref="A1:A35">
    <cfRule type="containsBlanks" dxfId="21" priority="4">
      <formula>LEN(TRIM(A1))=0</formula>
    </cfRule>
  </conditionalFormatting>
  <conditionalFormatting sqref="E1:E35">
    <cfRule type="containsText" dxfId="20" priority="1" operator="containsText" text="Pre 2020">
      <formula>NOT(ISERROR(SEARCH("Pre 2020",E1)))</formula>
    </cfRule>
  </conditionalFormatting>
  <conditionalFormatting sqref="G2:G35">
    <cfRule type="expression" dxfId="19" priority="16">
      <formula>G2&lt;TODAY()</formula>
    </cfRule>
    <cfRule type="expression" dxfId="18" priority="17">
      <formula>G2&gt;TODAY()</formula>
    </cfRule>
  </conditionalFormatting>
  <conditionalFormatting sqref="H2:H35">
    <cfRule type="expression" dxfId="17" priority="14">
      <formula>G2&lt;TODAY()</formula>
    </cfRule>
    <cfRule type="expression" dxfId="16" priority="15">
      <formula>G2&gt;TODAY()</formula>
    </cfRule>
  </conditionalFormatting>
  <conditionalFormatting sqref="I2:I35">
    <cfRule type="colorScale" priority="18">
      <colorScale>
        <cfvo type="min"/>
        <cfvo type="max"/>
        <color rgb="FFFF7128"/>
        <color rgb="FFFFEF9C"/>
      </colorScale>
    </cfRule>
  </conditionalFormatting>
  <conditionalFormatting sqref="J1:J35">
    <cfRule type="containsText" dxfId="15" priority="5" operator="containsText" text="Wales">
      <formula>NOT(ISERROR(SEARCH("Wales",J1)))</formula>
    </cfRule>
  </conditionalFormatting>
  <conditionalFormatting sqref="K1:K35">
    <cfRule type="containsText" dxfId="14" priority="2" operator="containsText" text="QR">
      <formula>NOT(ISERROR(SEARCH("QR",K1)))</formula>
    </cfRule>
    <cfRule type="containsText" dxfId="13" priority="3" operator="containsText" text="Set for service">
      <formula>NOT(ISERROR(SEARCH("Set for service",K1)))</formula>
    </cfRule>
  </conditionalFormatting>
  <conditionalFormatting sqref="L2:L35">
    <cfRule type="containsText" dxfId="12" priority="6" operator="containsText" text="FALSE">
      <formula>NOT(ISERROR(SEARCH("FALSE",L2)))</formula>
    </cfRule>
    <cfRule type="containsText" dxfId="11" priority="7" operator="containsText" text="TRUE">
      <formula>NOT(ISERROR(SEARCH("TRUE",L2)))</formula>
    </cfRule>
    <cfRule type="containsText" dxfId="10" priority="8" operator="containsText" text="IDK">
      <formula>NOT(ISERROR(SEARCH("IDK",L2)))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9E92-200F-469A-8F69-4CD4530B239C}">
  <dimension ref="A1:L28"/>
  <sheetViews>
    <sheetView zoomScale="80" zoomScaleNormal="80" workbookViewId="0">
      <selection activeCell="B8" sqref="B8"/>
    </sheetView>
  </sheetViews>
  <sheetFormatPr defaultRowHeight="15" x14ac:dyDescent="0.25"/>
  <cols>
    <col min="1" max="1" width="19.140625" customWidth="1"/>
    <col min="2" max="2" width="17.140625" customWidth="1"/>
    <col min="3" max="3" width="11.42578125" bestFit="1" customWidth="1"/>
    <col min="4" max="4" width="23.140625" bestFit="1" customWidth="1"/>
    <col min="5" max="5" width="18" customWidth="1"/>
    <col min="6" max="6" width="14" customWidth="1"/>
    <col min="7" max="7" width="14.140625" customWidth="1"/>
    <col min="8" max="8" width="15.7109375" customWidth="1"/>
    <col min="9" max="9" width="20.7109375" customWidth="1"/>
    <col min="10" max="10" width="10.85546875" customWidth="1"/>
    <col min="11" max="11" width="34.5703125" bestFit="1" customWidth="1"/>
    <col min="12" max="12" width="1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</row>
    <row r="2" spans="1:12" x14ac:dyDescent="0.25">
      <c r="A2" s="22" t="s">
        <v>162</v>
      </c>
      <c r="B2" s="25" t="s">
        <v>215</v>
      </c>
      <c r="C2" s="25"/>
      <c r="D2" s="25">
        <v>134493</v>
      </c>
      <c r="E2" s="26">
        <v>42244</v>
      </c>
      <c r="F2" s="26"/>
      <c r="G2" s="27"/>
      <c r="H2" s="25"/>
      <c r="I2" s="25"/>
      <c r="J2" s="25"/>
      <c r="K2" s="25" t="s">
        <v>163</v>
      </c>
      <c r="L2" s="21"/>
    </row>
    <row r="3" spans="1:12" x14ac:dyDescent="0.25">
      <c r="A3" s="36" t="s">
        <v>164</v>
      </c>
      <c r="B3" s="37" t="s">
        <v>216</v>
      </c>
      <c r="C3" s="37"/>
      <c r="D3" s="38" t="s">
        <v>165</v>
      </c>
      <c r="E3" s="39">
        <v>42220</v>
      </c>
      <c r="F3" s="39"/>
      <c r="G3" s="40"/>
      <c r="H3" s="36"/>
      <c r="I3" s="36"/>
      <c r="J3" s="41" t="s">
        <v>24</v>
      </c>
      <c r="K3" s="25" t="s">
        <v>166</v>
      </c>
      <c r="L3" s="21"/>
    </row>
    <row r="4" spans="1:12" x14ac:dyDescent="0.25">
      <c r="A4" s="36" t="s">
        <v>167</v>
      </c>
      <c r="B4" s="25" t="s">
        <v>215</v>
      </c>
      <c r="C4" s="42"/>
      <c r="D4" s="43" t="s">
        <v>168</v>
      </c>
      <c r="E4" s="44">
        <v>42128</v>
      </c>
      <c r="F4" s="39"/>
      <c r="G4" s="40"/>
      <c r="H4" s="36"/>
      <c r="I4" s="36"/>
      <c r="J4" s="45" t="s">
        <v>29</v>
      </c>
      <c r="K4" s="37" t="s">
        <v>169</v>
      </c>
      <c r="L4" s="21"/>
    </row>
    <row r="5" spans="1:12" x14ac:dyDescent="0.25">
      <c r="A5" s="36" t="s">
        <v>170</v>
      </c>
      <c r="B5" s="25" t="s">
        <v>215</v>
      </c>
      <c r="C5" s="42"/>
      <c r="D5" s="43" t="s">
        <v>171</v>
      </c>
      <c r="E5" s="44">
        <v>43536</v>
      </c>
      <c r="F5" s="39"/>
      <c r="G5" s="40"/>
      <c r="H5" s="36"/>
      <c r="I5" s="36"/>
      <c r="J5" s="45" t="s">
        <v>29</v>
      </c>
      <c r="K5" s="37" t="s">
        <v>172</v>
      </c>
      <c r="L5" s="21"/>
    </row>
    <row r="6" spans="1:12" x14ac:dyDescent="0.25">
      <c r="A6" s="36" t="s">
        <v>173</v>
      </c>
      <c r="B6" s="25" t="s">
        <v>215</v>
      </c>
      <c r="C6" s="42"/>
      <c r="D6" s="43" t="s">
        <v>174</v>
      </c>
      <c r="E6" s="44">
        <v>43536</v>
      </c>
      <c r="F6" s="39"/>
      <c r="G6" s="40"/>
      <c r="H6" s="36"/>
      <c r="I6" s="36"/>
      <c r="J6" s="45" t="s">
        <v>29</v>
      </c>
      <c r="K6" s="37"/>
      <c r="L6" s="21"/>
    </row>
    <row r="7" spans="1:12" x14ac:dyDescent="0.25">
      <c r="A7" s="22" t="s">
        <v>175</v>
      </c>
      <c r="B7" s="46" t="s">
        <v>217</v>
      </c>
      <c r="C7" s="46" t="s">
        <v>176</v>
      </c>
      <c r="D7" s="25" t="s">
        <v>177</v>
      </c>
      <c r="E7" s="47">
        <v>44139</v>
      </c>
      <c r="F7" s="48"/>
      <c r="G7" s="49"/>
      <c r="H7" s="22"/>
      <c r="I7" s="22"/>
      <c r="J7" s="50"/>
      <c r="K7" s="46" t="s">
        <v>178</v>
      </c>
      <c r="L7" s="21"/>
    </row>
    <row r="8" spans="1:12" x14ac:dyDescent="0.25">
      <c r="A8" s="22" t="s">
        <v>179</v>
      </c>
      <c r="B8" s="46" t="s">
        <v>217</v>
      </c>
      <c r="C8" s="46" t="s">
        <v>176</v>
      </c>
      <c r="D8" s="46" t="s">
        <v>180</v>
      </c>
      <c r="E8" s="48">
        <v>44139</v>
      </c>
      <c r="F8" s="48"/>
      <c r="G8" s="49"/>
      <c r="H8" s="22"/>
      <c r="I8" s="22"/>
      <c r="J8" s="50"/>
      <c r="K8" s="46"/>
      <c r="L8" s="21"/>
    </row>
    <row r="9" spans="1:12" x14ac:dyDescent="0.25">
      <c r="A9" s="22" t="s">
        <v>181</v>
      </c>
      <c r="B9" s="25" t="s">
        <v>215</v>
      </c>
      <c r="C9" s="46"/>
      <c r="D9" s="46">
        <v>237350</v>
      </c>
      <c r="E9" s="48">
        <v>44592</v>
      </c>
      <c r="F9" s="48"/>
      <c r="G9" s="49"/>
      <c r="H9" s="22"/>
      <c r="I9" s="22"/>
      <c r="J9" s="50"/>
      <c r="K9" s="37" t="s">
        <v>182</v>
      </c>
      <c r="L9" s="21"/>
    </row>
    <row r="10" spans="1:12" x14ac:dyDescent="0.25">
      <c r="A10" s="22" t="s">
        <v>183</v>
      </c>
      <c r="B10" s="25" t="s">
        <v>215</v>
      </c>
      <c r="C10" s="46"/>
      <c r="D10" s="46">
        <v>237251</v>
      </c>
      <c r="E10" s="48">
        <v>44592</v>
      </c>
      <c r="F10" s="48"/>
      <c r="G10" s="49"/>
      <c r="H10" s="22"/>
      <c r="I10" s="22"/>
      <c r="J10" s="50"/>
      <c r="K10" s="46"/>
      <c r="L10" s="21"/>
    </row>
    <row r="11" spans="1:12" x14ac:dyDescent="0.25">
      <c r="A11" s="22" t="s">
        <v>184</v>
      </c>
      <c r="B11" s="25" t="s">
        <v>215</v>
      </c>
      <c r="C11" s="46"/>
      <c r="D11" s="46">
        <v>237349</v>
      </c>
      <c r="E11" s="48">
        <v>44592</v>
      </c>
      <c r="F11" s="48"/>
      <c r="G11" s="49"/>
      <c r="H11" s="22"/>
      <c r="I11" s="22"/>
      <c r="J11" s="50"/>
      <c r="K11" s="46"/>
      <c r="L11" s="21"/>
    </row>
    <row r="12" spans="1:12" x14ac:dyDescent="0.25">
      <c r="A12" s="22" t="s">
        <v>185</v>
      </c>
      <c r="B12" s="25" t="s">
        <v>215</v>
      </c>
      <c r="C12" s="46"/>
      <c r="D12" s="46">
        <v>237359</v>
      </c>
      <c r="E12" s="48">
        <v>44592</v>
      </c>
      <c r="F12" s="48"/>
      <c r="G12" s="49"/>
      <c r="H12" s="22"/>
      <c r="I12" s="22"/>
      <c r="J12" s="50"/>
      <c r="K12" s="46"/>
      <c r="L12" s="21"/>
    </row>
    <row r="13" spans="1:12" x14ac:dyDescent="0.25">
      <c r="A13" s="22" t="s">
        <v>186</v>
      </c>
      <c r="B13" s="25" t="s">
        <v>215</v>
      </c>
      <c r="C13" s="46"/>
      <c r="D13" s="46">
        <v>249490</v>
      </c>
      <c r="E13" s="48">
        <v>44999</v>
      </c>
      <c r="F13" s="48"/>
      <c r="G13" s="49"/>
      <c r="H13" s="22"/>
      <c r="I13" s="22"/>
      <c r="J13" s="50"/>
      <c r="K13" s="46"/>
      <c r="L13" s="21"/>
    </row>
    <row r="14" spans="1:12" x14ac:dyDescent="0.25">
      <c r="A14" s="22" t="s">
        <v>187</v>
      </c>
      <c r="B14" s="25" t="s">
        <v>215</v>
      </c>
      <c r="C14" s="46"/>
      <c r="D14" s="46">
        <v>249496</v>
      </c>
      <c r="E14" s="48">
        <v>44999</v>
      </c>
      <c r="F14" s="48"/>
      <c r="G14" s="49"/>
      <c r="H14" s="22"/>
      <c r="I14" s="22"/>
      <c r="J14" s="50"/>
      <c r="K14" s="46"/>
      <c r="L14" s="21"/>
    </row>
    <row r="15" spans="1:12" x14ac:dyDescent="0.25">
      <c r="A15" s="22" t="s">
        <v>188</v>
      </c>
      <c r="B15" s="25" t="s">
        <v>215</v>
      </c>
      <c r="C15" s="46"/>
      <c r="D15" s="46">
        <v>249506</v>
      </c>
      <c r="E15" s="48">
        <v>45034</v>
      </c>
      <c r="F15" s="48"/>
      <c r="G15" s="49"/>
      <c r="H15" s="22"/>
      <c r="I15" s="22"/>
      <c r="J15" s="50"/>
      <c r="K15" s="46"/>
      <c r="L15" s="21"/>
    </row>
    <row r="16" spans="1:12" x14ac:dyDescent="0.25">
      <c r="A16" s="22" t="s">
        <v>189</v>
      </c>
      <c r="B16" s="25" t="s">
        <v>215</v>
      </c>
      <c r="C16" s="46"/>
      <c r="D16" s="46">
        <v>249507</v>
      </c>
      <c r="E16" s="48">
        <v>45034</v>
      </c>
      <c r="F16" s="48"/>
      <c r="G16" s="49"/>
      <c r="H16" s="22"/>
      <c r="I16" s="22"/>
      <c r="J16" s="50"/>
      <c r="K16" s="46"/>
      <c r="L16" s="21"/>
    </row>
    <row r="17" spans="1:12" x14ac:dyDescent="0.25">
      <c r="A17" s="22" t="s">
        <v>190</v>
      </c>
      <c r="B17" s="25" t="s">
        <v>215</v>
      </c>
      <c r="C17" s="46"/>
      <c r="D17" s="46">
        <v>249508</v>
      </c>
      <c r="E17" s="48">
        <v>45034</v>
      </c>
      <c r="F17" s="48"/>
      <c r="G17" s="49"/>
      <c r="H17" s="22"/>
      <c r="I17" s="22"/>
      <c r="J17" s="50"/>
      <c r="K17" s="46"/>
      <c r="L17" s="21"/>
    </row>
    <row r="18" spans="1:12" x14ac:dyDescent="0.25">
      <c r="A18" s="22" t="s">
        <v>191</v>
      </c>
      <c r="B18" s="25" t="s">
        <v>215</v>
      </c>
      <c r="C18" s="46"/>
      <c r="D18" s="46">
        <v>220456</v>
      </c>
      <c r="E18" s="48">
        <v>45160</v>
      </c>
      <c r="F18" s="48"/>
      <c r="G18" s="49"/>
      <c r="H18" s="22"/>
      <c r="I18" s="22"/>
      <c r="J18" s="50"/>
      <c r="K18" s="46"/>
      <c r="L18" s="21"/>
    </row>
    <row r="19" spans="1:12" x14ac:dyDescent="0.25">
      <c r="A19" s="22" t="s">
        <v>192</v>
      </c>
      <c r="B19" s="25" t="s">
        <v>215</v>
      </c>
      <c r="C19" s="46"/>
      <c r="D19" s="46">
        <v>220457</v>
      </c>
      <c r="E19" s="48">
        <v>45160</v>
      </c>
      <c r="F19" s="48"/>
      <c r="G19" s="49"/>
      <c r="H19" s="22"/>
      <c r="I19" s="22"/>
      <c r="J19" s="50"/>
      <c r="K19" s="46"/>
      <c r="L19" s="21"/>
    </row>
    <row r="20" spans="1:12" x14ac:dyDescent="0.25">
      <c r="A20" s="22" t="s">
        <v>193</v>
      </c>
      <c r="B20" s="25" t="s">
        <v>215</v>
      </c>
      <c r="C20" s="46"/>
      <c r="D20" s="46">
        <v>275396</v>
      </c>
      <c r="E20" s="48">
        <v>45300</v>
      </c>
      <c r="F20" s="48"/>
      <c r="G20" s="49"/>
      <c r="H20" s="22"/>
      <c r="I20" s="22"/>
      <c r="J20" s="50" t="s">
        <v>29</v>
      </c>
      <c r="K20" s="46"/>
      <c r="L20" s="21"/>
    </row>
    <row r="21" spans="1:12" x14ac:dyDescent="0.25">
      <c r="A21" s="22" t="s">
        <v>194</v>
      </c>
      <c r="B21" s="25" t="s">
        <v>215</v>
      </c>
      <c r="C21" s="46"/>
      <c r="D21" s="46">
        <v>287399</v>
      </c>
      <c r="E21" s="48">
        <v>45447</v>
      </c>
      <c r="F21" s="48"/>
      <c r="G21" s="49"/>
      <c r="H21" s="22"/>
      <c r="I21" s="22"/>
      <c r="J21" s="50"/>
      <c r="K21" s="46"/>
      <c r="L21" s="21"/>
    </row>
    <row r="22" spans="1:12" x14ac:dyDescent="0.25">
      <c r="A22" s="22" t="s">
        <v>195</v>
      </c>
      <c r="B22" s="25" t="s">
        <v>215</v>
      </c>
      <c r="C22" s="46"/>
      <c r="D22" s="46">
        <v>287404</v>
      </c>
      <c r="E22" s="48">
        <v>45447</v>
      </c>
      <c r="F22" s="48"/>
      <c r="G22" s="49"/>
      <c r="H22" s="22"/>
      <c r="I22" s="22"/>
      <c r="J22" s="50" t="s">
        <v>196</v>
      </c>
      <c r="K22" s="46"/>
      <c r="L22" s="21"/>
    </row>
    <row r="23" spans="1:12" x14ac:dyDescent="0.25">
      <c r="A23" s="22" t="s">
        <v>197</v>
      </c>
      <c r="B23" s="25" t="s">
        <v>215</v>
      </c>
      <c r="C23" s="46"/>
      <c r="D23" s="46">
        <v>287419</v>
      </c>
      <c r="E23" s="48">
        <v>45503</v>
      </c>
      <c r="F23" s="48"/>
      <c r="G23" s="49"/>
      <c r="H23" s="22"/>
      <c r="I23" s="22"/>
      <c r="J23" s="50"/>
      <c r="K23" s="46"/>
      <c r="L23" s="21"/>
    </row>
    <row r="24" spans="1:12" x14ac:dyDescent="0.25">
      <c r="A24" s="22" t="s">
        <v>198</v>
      </c>
      <c r="B24" s="25" t="s">
        <v>215</v>
      </c>
      <c r="C24" s="46"/>
      <c r="D24" s="46">
        <v>287411</v>
      </c>
      <c r="E24" s="48">
        <v>45534</v>
      </c>
      <c r="F24" s="48"/>
      <c r="G24" s="49"/>
      <c r="H24" s="22"/>
      <c r="I24" s="22"/>
      <c r="J24" s="50" t="s">
        <v>199</v>
      </c>
      <c r="K24" s="46"/>
      <c r="L24" s="21"/>
    </row>
    <row r="25" spans="1:12" x14ac:dyDescent="0.25">
      <c r="A25" s="22" t="s">
        <v>200</v>
      </c>
      <c r="B25" s="25" t="s">
        <v>215</v>
      </c>
      <c r="C25" s="46"/>
      <c r="D25" s="46">
        <v>287416</v>
      </c>
      <c r="E25" s="48">
        <v>45534</v>
      </c>
      <c r="F25" s="48"/>
      <c r="G25" s="49"/>
      <c r="H25" s="22"/>
      <c r="I25" s="22"/>
      <c r="J25" s="50"/>
      <c r="K25" s="46"/>
      <c r="L25" s="21"/>
    </row>
    <row r="26" spans="1:12" x14ac:dyDescent="0.25">
      <c r="A26" s="22" t="s">
        <v>201</v>
      </c>
      <c r="B26" s="46" t="s">
        <v>217</v>
      </c>
      <c r="C26" s="46" t="s">
        <v>176</v>
      </c>
      <c r="D26" s="46" t="s">
        <v>202</v>
      </c>
      <c r="E26" s="48">
        <v>45644</v>
      </c>
      <c r="F26" s="48"/>
      <c r="G26" s="49"/>
      <c r="H26" s="22"/>
      <c r="I26" s="22"/>
      <c r="J26" s="50" t="s">
        <v>24</v>
      </c>
      <c r="K26" s="46" t="s">
        <v>203</v>
      </c>
      <c r="L26" s="21"/>
    </row>
    <row r="27" spans="1:12" x14ac:dyDescent="0.25">
      <c r="A27" s="22" t="s">
        <v>204</v>
      </c>
      <c r="B27" s="46" t="s">
        <v>217</v>
      </c>
      <c r="C27" s="46" t="s">
        <v>176</v>
      </c>
      <c r="D27" s="46" t="s">
        <v>205</v>
      </c>
      <c r="E27" s="48">
        <v>45644</v>
      </c>
      <c r="F27" s="48"/>
      <c r="G27" s="49"/>
      <c r="H27" s="22"/>
      <c r="I27" s="22"/>
      <c r="J27" s="50" t="s">
        <v>24</v>
      </c>
      <c r="K27" s="46"/>
      <c r="L27" s="21"/>
    </row>
    <row r="28" spans="1:12" x14ac:dyDescent="0.25">
      <c r="A28" s="22" t="s">
        <v>206</v>
      </c>
      <c r="B28" s="25" t="s">
        <v>215</v>
      </c>
      <c r="C28" s="46" t="s">
        <v>207</v>
      </c>
      <c r="D28" s="46">
        <v>312593</v>
      </c>
      <c r="E28" s="48">
        <v>45995</v>
      </c>
      <c r="F28" s="48"/>
      <c r="G28" s="49"/>
      <c r="H28" s="22"/>
      <c r="I28" s="22"/>
      <c r="J28" s="50" t="s">
        <v>29</v>
      </c>
      <c r="K28" s="46"/>
      <c r="L28" s="21"/>
    </row>
  </sheetData>
  <conditionalFormatting sqref="A1:A28">
    <cfRule type="containsBlanks" dxfId="9" priority="4">
      <formula>LEN(TRIM(A1))=0</formula>
    </cfRule>
  </conditionalFormatting>
  <conditionalFormatting sqref="E1:E28">
    <cfRule type="containsText" dxfId="8" priority="1" operator="containsText" text="Pre 2020">
      <formula>NOT(ISERROR(SEARCH("Pre 2020",E1)))</formula>
    </cfRule>
  </conditionalFormatting>
  <conditionalFormatting sqref="J1:J28">
    <cfRule type="containsText" dxfId="7" priority="5" operator="containsText" text="Wales">
      <formula>NOT(ISERROR(SEARCH("Wales",J1)))</formula>
    </cfRule>
  </conditionalFormatting>
  <conditionalFormatting sqref="K1:K2 K4:K28">
    <cfRule type="containsText" dxfId="6" priority="3" operator="containsText" text="Set for service">
      <formula>NOT(ISERROR(SEARCH("Set for service",K1)))</formula>
    </cfRule>
  </conditionalFormatting>
  <conditionalFormatting sqref="K1:K28">
    <cfRule type="containsText" dxfId="5" priority="2" operator="containsText" text="QR">
      <formula>NOT(ISERROR(SEARCH("QR",K1)))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6CA3-4BD1-4D66-86E0-AC494D5B91D6}">
  <dimension ref="A1:K9"/>
  <sheetViews>
    <sheetView zoomScale="80" zoomScaleNormal="80" workbookViewId="0"/>
  </sheetViews>
  <sheetFormatPr defaultRowHeight="15" x14ac:dyDescent="0.25"/>
  <cols>
    <col min="1" max="1" width="19.42578125" customWidth="1"/>
    <col min="2" max="2" width="26" bestFit="1" customWidth="1"/>
    <col min="3" max="3" width="9.140625" customWidth="1"/>
    <col min="4" max="4" width="16" customWidth="1"/>
    <col min="5" max="5" width="18.5703125" customWidth="1"/>
    <col min="6" max="6" width="14" customWidth="1"/>
    <col min="7" max="7" width="14.5703125" customWidth="1"/>
    <col min="8" max="8" width="15.85546875" customWidth="1"/>
    <col min="9" max="9" width="21.28515625" customWidth="1"/>
    <col min="10" max="10" width="10.85546875" customWidth="1"/>
    <col min="11" max="11" width="21" bestFit="1" customWidth="1"/>
  </cols>
  <sheetData>
    <row r="1" spans="1:11" ht="45" x14ac:dyDescent="0.25">
      <c r="A1" s="5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 x14ac:dyDescent="0.25">
      <c r="A2" s="54" t="s">
        <v>208</v>
      </c>
      <c r="B2" s="28" t="s">
        <v>218</v>
      </c>
      <c r="C2" s="28" t="s">
        <v>209</v>
      </c>
      <c r="D2" s="28">
        <v>2022337764</v>
      </c>
      <c r="E2" s="30">
        <v>44944</v>
      </c>
      <c r="F2" s="30"/>
      <c r="G2" s="31"/>
      <c r="H2" s="28"/>
      <c r="I2" s="28"/>
      <c r="J2" s="28" t="s">
        <v>24</v>
      </c>
      <c r="K2" s="28" t="s">
        <v>76</v>
      </c>
    </row>
    <row r="3" spans="1:11" x14ac:dyDescent="0.25">
      <c r="A3" s="53" t="s">
        <v>210</v>
      </c>
      <c r="B3" s="25" t="s">
        <v>218</v>
      </c>
      <c r="C3" s="25" t="s">
        <v>209</v>
      </c>
      <c r="D3" s="25">
        <v>2024246395</v>
      </c>
      <c r="E3" s="26">
        <v>45553</v>
      </c>
      <c r="F3" s="26"/>
      <c r="G3" s="27"/>
      <c r="H3" s="25"/>
      <c r="I3" s="25"/>
      <c r="J3" s="25" t="s">
        <v>29</v>
      </c>
      <c r="K3" s="25"/>
    </row>
    <row r="4" spans="1:11" x14ac:dyDescent="0.25">
      <c r="A4" s="53" t="s">
        <v>211</v>
      </c>
      <c r="B4" s="25" t="s">
        <v>218</v>
      </c>
      <c r="C4" s="25" t="s">
        <v>209</v>
      </c>
      <c r="D4" s="25">
        <v>2024246396</v>
      </c>
      <c r="E4" s="26">
        <v>45553</v>
      </c>
      <c r="F4" s="26"/>
      <c r="G4" s="25"/>
      <c r="H4" s="25"/>
      <c r="I4" s="25"/>
      <c r="J4" s="25" t="s">
        <v>29</v>
      </c>
      <c r="K4" s="25"/>
    </row>
    <row r="5" spans="1:11" x14ac:dyDescent="0.25">
      <c r="A5" s="53" t="s">
        <v>212</v>
      </c>
      <c r="B5" s="25" t="s">
        <v>218</v>
      </c>
      <c r="C5" s="25" t="s">
        <v>209</v>
      </c>
      <c r="D5" s="25">
        <v>2024251614</v>
      </c>
      <c r="E5" s="26">
        <v>45553</v>
      </c>
      <c r="F5" s="26"/>
      <c r="G5" s="25"/>
      <c r="H5" s="25"/>
      <c r="I5" s="25"/>
      <c r="J5" s="25" t="s">
        <v>29</v>
      </c>
      <c r="K5" s="25"/>
    </row>
    <row r="6" spans="1:11" x14ac:dyDescent="0.25">
      <c r="A6" s="53" t="s">
        <v>213</v>
      </c>
      <c r="B6" s="25" t="s">
        <v>218</v>
      </c>
      <c r="C6" s="25" t="s">
        <v>209</v>
      </c>
      <c r="D6" s="25">
        <v>2024130073</v>
      </c>
      <c r="E6" s="26">
        <v>45553</v>
      </c>
      <c r="F6" s="26"/>
      <c r="G6" s="25"/>
      <c r="H6" s="25"/>
      <c r="I6" s="25"/>
      <c r="J6" s="25" t="s">
        <v>24</v>
      </c>
      <c r="K6" s="25"/>
    </row>
    <row r="7" spans="1:11" x14ac:dyDescent="0.25">
      <c r="A7" s="53" t="s">
        <v>214</v>
      </c>
      <c r="B7" s="25" t="s">
        <v>218</v>
      </c>
      <c r="C7" s="25" t="s">
        <v>209</v>
      </c>
      <c r="D7" s="25">
        <v>2024130074</v>
      </c>
      <c r="E7" s="26">
        <v>45553</v>
      </c>
      <c r="F7" s="26"/>
      <c r="G7" s="27"/>
      <c r="H7" s="25"/>
      <c r="I7" s="25"/>
      <c r="J7" s="25" t="s">
        <v>24</v>
      </c>
      <c r="K7" s="25" t="s">
        <v>76</v>
      </c>
    </row>
    <row r="8" spans="1:11" x14ac:dyDescent="0.25">
      <c r="A8" s="53"/>
      <c r="B8" s="25" t="s">
        <v>218</v>
      </c>
      <c r="C8" s="25" t="s">
        <v>209</v>
      </c>
      <c r="D8" s="25">
        <v>2018292537</v>
      </c>
      <c r="E8" s="26">
        <v>45553</v>
      </c>
      <c r="F8" s="26"/>
      <c r="G8" s="27"/>
      <c r="H8" s="25"/>
      <c r="I8" s="25"/>
      <c r="J8" s="25" t="s">
        <v>24</v>
      </c>
      <c r="K8" s="25" t="s">
        <v>219</v>
      </c>
    </row>
    <row r="9" spans="1:11" x14ac:dyDescent="0.25">
      <c r="A9" s="55"/>
      <c r="B9" s="35" t="s">
        <v>220</v>
      </c>
      <c r="C9" s="35"/>
      <c r="D9" s="35">
        <v>2014255293</v>
      </c>
      <c r="E9" s="56">
        <v>45553</v>
      </c>
      <c r="F9" s="56"/>
      <c r="G9" s="33"/>
      <c r="H9" s="35"/>
      <c r="I9" s="35"/>
      <c r="J9" s="35" t="s">
        <v>24</v>
      </c>
      <c r="K9" s="35"/>
    </row>
  </sheetData>
  <conditionalFormatting sqref="A1:A9">
    <cfRule type="containsBlanks" dxfId="4" priority="4">
      <formula>LEN(TRIM(A1))=0</formula>
    </cfRule>
  </conditionalFormatting>
  <conditionalFormatting sqref="E1:E9">
    <cfRule type="containsText" dxfId="3" priority="1" operator="containsText" text="Pre 2020">
      <formula>NOT(ISERROR(SEARCH("Pre 2020",E1)))</formula>
    </cfRule>
  </conditionalFormatting>
  <conditionalFormatting sqref="I7:I9">
    <cfRule type="colorScale" priority="11">
      <colorScale>
        <cfvo type="min"/>
        <cfvo type="max"/>
        <color rgb="FFFF7128"/>
        <color rgb="FFFFEF9C"/>
      </colorScale>
    </cfRule>
  </conditionalFormatting>
  <conditionalFormatting sqref="J1:J9">
    <cfRule type="containsText" dxfId="2" priority="5" operator="containsText" text="Wales">
      <formula>NOT(ISERROR(SEARCH("Wales",J1)))</formula>
    </cfRule>
  </conditionalFormatting>
  <conditionalFormatting sqref="K1:K9">
    <cfRule type="containsText" dxfId="1" priority="2" operator="containsText" text="QR">
      <formula>NOT(ISERROR(SEARCH("QR",K1)))</formula>
    </cfRule>
    <cfRule type="containsText" dxfId="0" priority="3" operator="containsText" text="Set for service">
      <formula>NOT(ISERROR(SEARCH("Set for service",K1)))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9BB1-218A-47EE-A1F1-5991F5594C3B}">
  <dimension ref="A1"/>
  <sheetViews>
    <sheetView workbookViewId="0">
      <selection activeCell="G16" sqref="G16"/>
    </sheetView>
  </sheetViews>
  <sheetFormatPr defaultRowHeight="15" x14ac:dyDescent="0.25"/>
  <sheetData>
    <row r="1" spans="1:1" x14ac:dyDescent="0.25">
      <c r="A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</vt:lpstr>
      <vt:lpstr>PUMP</vt:lpstr>
      <vt:lpstr>SUBS</vt:lpstr>
      <vt:lpstr>DOSING</vt:lpstr>
      <vt:lpstr>CHEM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Campbell</dc:creator>
  <cp:lastModifiedBy>Alex Campbell</cp:lastModifiedBy>
  <dcterms:created xsi:type="dcterms:W3CDTF">2026-02-19T14:27:42Z</dcterms:created>
  <dcterms:modified xsi:type="dcterms:W3CDTF">2026-04-03T14:08:01Z</dcterms:modified>
</cp:coreProperties>
</file>